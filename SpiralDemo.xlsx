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 state="visible" name="Copia de Hoja 2" sheetId="3" r:id="rId7"/>
    <sheet state="visible" name="MANA DISCIPLINE" sheetId="4" r:id="rId8"/>
    <sheet state="visible" name="Hoja 4" sheetId="5" r:id="rId9"/>
  </sheets>
  <definedNames/>
  <calcPr/>
</workbook>
</file>

<file path=xl/sharedStrings.xml><?xml version="1.0" encoding="utf-8"?>
<sst xmlns="http://schemas.openxmlformats.org/spreadsheetml/2006/main" count="932" uniqueCount="575">
  <si>
    <t>Skill Ranks</t>
  </si>
  <si>
    <t>Mastery</t>
  </si>
  <si>
    <t>MANA DISCIPLINE</t>
  </si>
  <si>
    <t>5 x Skill lv1</t>
  </si>
  <si>
    <t>ATRIBUTE :</t>
  </si>
  <si>
    <t>5 x Skills lv 10</t>
  </si>
  <si>
    <t>INT / CHA</t>
  </si>
  <si>
    <t>5 x Skill 25</t>
  </si>
  <si>
    <t>[COMMON]</t>
  </si>
  <si>
    <t>Non Core</t>
  </si>
  <si>
    <t>5 x Skill 40</t>
  </si>
  <si>
    <t>MAX</t>
  </si>
  <si>
    <t>Sk. Lv</t>
  </si>
  <si>
    <t>Can be learned by non-specialized classes</t>
  </si>
  <si>
    <t>Success</t>
  </si>
  <si>
    <t>GreatS</t>
  </si>
  <si>
    <t>EpicS</t>
  </si>
  <si>
    <t>HeroicS</t>
  </si>
  <si>
    <r>
      <rPr>
        <rFont val="Arial"/>
        <color theme="1"/>
      </rPr>
      <t>Active Spells can be upgraded up to [</t>
    </r>
    <r>
      <rPr>
        <rFont val="Lexend"/>
        <color theme="1"/>
      </rPr>
      <t xml:space="preserve"> </t>
    </r>
    <r>
      <rPr>
        <rFont val="Lexend"/>
        <b/>
        <color theme="1"/>
        <sz val="12.0"/>
      </rPr>
      <t>* *</t>
    </r>
    <r>
      <rPr>
        <rFont val="Arial"/>
        <b/>
        <color theme="1"/>
      </rPr>
      <t xml:space="preserve"> </t>
    </r>
    <r>
      <rPr>
        <rFont val="Arial"/>
        <color theme="1"/>
      </rPr>
      <t>]</t>
    </r>
  </si>
  <si>
    <t>COST</t>
  </si>
  <si>
    <t>ACCUM COST</t>
  </si>
  <si>
    <t>[PRO]</t>
  </si>
  <si>
    <t>Cost - MSTR</t>
  </si>
  <si>
    <t>CostACC - Mstr</t>
  </si>
  <si>
    <t>cost (C)</t>
  </si>
  <si>
    <t>Only Specialized Classes can learn this</t>
  </si>
  <si>
    <t>ACC cost(c)</t>
  </si>
  <si>
    <t>WARRIOR CLASS</t>
  </si>
  <si>
    <t>cost - Mstr (C)</t>
  </si>
  <si>
    <r>
      <rPr>
        <rFont val="Arial"/>
        <color theme="1"/>
      </rPr>
      <t>Active Spells can be upgraded up to [</t>
    </r>
    <r>
      <rPr>
        <rFont val="Lexend"/>
        <b/>
        <color theme="1"/>
        <sz val="12.0"/>
      </rPr>
      <t xml:space="preserve"> * * * </t>
    </r>
    <r>
      <rPr>
        <rFont val="Arial"/>
        <color theme="1"/>
      </rPr>
      <t>]</t>
    </r>
  </si>
  <si>
    <t>ACC c-mstr (c)</t>
  </si>
  <si>
    <t>** a mana Discipline when taken, doubles the cost of any other mana discipline of the same rank (IRON)</t>
  </si>
  <si>
    <t>non</t>
  </si>
  <si>
    <t>[RARE]</t>
  </si>
  <si>
    <t>Core Skills</t>
  </si>
  <si>
    <t>Melee Weapons, Light Armor / Heavy Armor</t>
  </si>
  <si>
    <t>APP LEvel</t>
  </si>
  <si>
    <t xml:space="preserve"> -</t>
  </si>
  <si>
    <t xml:space="preserve">⭐ </t>
  </si>
  <si>
    <t>Requiere Class Main Attribute ( Iron 250+, Bronze 300+)</t>
  </si>
  <si>
    <r>
      <rPr>
        <rFont val="Arial"/>
        <color theme="1"/>
      </rPr>
      <t>Active Spells can be upgraded up to [</t>
    </r>
    <r>
      <rPr>
        <rFont val="Arial"/>
        <b/>
        <color theme="1"/>
      </rPr>
      <t xml:space="preserve"> </t>
    </r>
    <r>
      <rPr>
        <rFont val="Lexend"/>
        <b/>
        <color theme="1"/>
        <sz val="12.0"/>
      </rPr>
      <t>* * * *</t>
    </r>
    <r>
      <rPr>
        <rFont val="Arial"/>
        <b/>
        <color theme="1"/>
      </rPr>
      <t xml:space="preserve"> </t>
    </r>
    <r>
      <rPr>
        <rFont val="Arial"/>
        <color theme="1"/>
      </rPr>
      <t>]</t>
    </r>
  </si>
  <si>
    <t>Cost 50% extra time and resources to learn and master</t>
  </si>
  <si>
    <t>Rank 1</t>
  </si>
  <si>
    <t>Warrior</t>
  </si>
  <si>
    <t>Rank 2 ( Level 10)</t>
  </si>
  <si>
    <t>Explode 10's</t>
  </si>
  <si>
    <t>Rank 3 ( Level 25)</t>
  </si>
  <si>
    <t>[EPIC]</t>
  </si>
  <si>
    <t>Sup Skills</t>
  </si>
  <si>
    <t>Requiere Class Main Attribute ( Iron 350+, Bronze 400+)</t>
  </si>
  <si>
    <t>Battle, Athletism, Intimidation</t>
  </si>
  <si>
    <t>BAsic Elementalist Mana</t>
  </si>
  <si>
    <t>Lifestyle Elemental Mana</t>
  </si>
  <si>
    <t>Generalist</t>
  </si>
  <si>
    <t>Cleaning Lifestyle Magic</t>
  </si>
  <si>
    <r>
      <rPr>
        <rFont val="Arial"/>
        <color theme="1"/>
      </rPr>
      <t xml:space="preserve">Active Spells can be upgraded up to [ </t>
    </r>
    <r>
      <rPr>
        <rFont val="Lexend"/>
        <b/>
        <color theme="1"/>
        <sz val="12.0"/>
      </rPr>
      <t>* * * * *</t>
    </r>
    <r>
      <rPr>
        <rFont val="Arial"/>
        <color theme="1"/>
      </rPr>
      <t xml:space="preserve"> ]</t>
    </r>
  </si>
  <si>
    <t>Specialist</t>
  </si>
  <si>
    <t>Minor Makeshift Magic</t>
  </si>
  <si>
    <t>Feats</t>
  </si>
  <si>
    <t>Cost 100% extra time and resources to learn and master</t>
  </si>
  <si>
    <t>Class</t>
  </si>
  <si>
    <t>Elemental Commute</t>
  </si>
  <si>
    <t>Upgrade</t>
  </si>
  <si>
    <t>Elemental Trance</t>
  </si>
  <si>
    <t>Special Requeriments apply</t>
  </si>
  <si>
    <t>Elemental Voice</t>
  </si>
  <si>
    <t>Twin Elementalism</t>
  </si>
  <si>
    <t>Fire Elemental Magic (Intermediate)</t>
  </si>
  <si>
    <t>Upgraded S.skill</t>
  </si>
  <si>
    <t xml:space="preserve"> (Fire-Wind, Wind-Ice, Ice-Fire)</t>
  </si>
  <si>
    <t>Burst Elemental Magic (Basic)</t>
  </si>
  <si>
    <t>x 3</t>
  </si>
  <si>
    <t>Ice Elemental Magic (Intermediate)</t>
  </si>
  <si>
    <r>
      <rPr>
        <rFont val="Calibri"/>
        <b/>
        <color theme="1"/>
        <sz val="9.0"/>
      </rPr>
      <t>Max Level</t>
    </r>
    <r>
      <rPr>
        <rFont val="Calibri"/>
        <b/>
        <color theme="1"/>
        <sz val="12.0"/>
      </rPr>
      <t xml:space="preserve"> 20</t>
    </r>
  </si>
  <si>
    <t>Water Elemental Magic (Intermediate)</t>
  </si>
  <si>
    <t>Wind Elemental Magic (Intermediate)</t>
  </si>
  <si>
    <t>Flight Elementalism (Basic)</t>
  </si>
  <si>
    <t>Minor Manifestation Magic (Basic)</t>
  </si>
  <si>
    <t>Major Manifestation Magic (Intermediate)</t>
  </si>
  <si>
    <t>Shadow Elemental Magic (Basic)</t>
  </si>
  <si>
    <t>TIER 0</t>
  </si>
  <si>
    <t>Upgraded C.skill</t>
  </si>
  <si>
    <t>Major Makeshift Magic (Intermediate)</t>
  </si>
  <si>
    <t>x 2</t>
  </si>
  <si>
    <r>
      <rPr>
        <rFont val="Arial"/>
        <color theme="1"/>
      </rPr>
      <t xml:space="preserve">Level </t>
    </r>
    <r>
      <rPr>
        <rFont val="Arial"/>
        <b/>
        <color theme="1"/>
      </rPr>
      <t>1</t>
    </r>
  </si>
  <si>
    <t>Earth Elemental Magic (Intermediate)</t>
  </si>
  <si>
    <t>Minor Elan Magic (Basic)</t>
  </si>
  <si>
    <t>Major Elan Magic</t>
  </si>
  <si>
    <t>Lighting Elemental Magic (Intermediate)</t>
  </si>
  <si>
    <t>happen pre-warrior class</t>
  </si>
  <si>
    <t>Basic Interference Mana</t>
  </si>
  <si>
    <t>Basic Dispel Mana</t>
  </si>
  <si>
    <t>BigFeat</t>
  </si>
  <si>
    <t>Skill Ft (10) + Attribtue Ft (250)</t>
  </si>
  <si>
    <t>Intermediate Intereference Mana</t>
  </si>
  <si>
    <t>Barrier Manifestation</t>
  </si>
  <si>
    <t>x feat</t>
  </si>
  <si>
    <t>Basic Conjuration Mana</t>
  </si>
  <si>
    <t>Magic Circle Manifestation</t>
  </si>
  <si>
    <t>Skill Spec           (Pro)</t>
  </si>
  <si>
    <t>Mental Interference</t>
  </si>
  <si>
    <t>* Reduce Warrior Skill Cost</t>
  </si>
  <si>
    <t>Basic Reinforcement Mana</t>
  </si>
  <si>
    <t>Intermediate Reinforcement Mana</t>
  </si>
  <si>
    <t>Attibutes:</t>
  </si>
  <si>
    <t>Basic Transmutation Mana</t>
  </si>
  <si>
    <t>BODY, Vitality, Strenght, Agility</t>
  </si>
  <si>
    <t>Mental Charm</t>
  </si>
  <si>
    <t>Physical Charm</t>
  </si>
  <si>
    <t>Healing Charm</t>
  </si>
  <si>
    <t>Abnormal State Mana</t>
  </si>
  <si>
    <t>TIER 1</t>
  </si>
  <si>
    <t>Level 2</t>
  </si>
  <si>
    <t>Unlock Line 1</t>
  </si>
  <si>
    <t>* Additional Warrior Skills</t>
  </si>
  <si>
    <t>Level Cap:</t>
  </si>
  <si>
    <t>Soldier Type Feats</t>
  </si>
  <si>
    <t>Swordman Type Feats</t>
  </si>
  <si>
    <r>
      <rPr>
        <rFont val="Arial"/>
        <color theme="1"/>
      </rPr>
      <t xml:space="preserve">Level </t>
    </r>
    <r>
      <rPr>
        <rFont val="Arial"/>
        <b/>
        <color theme="1"/>
      </rPr>
      <t>19</t>
    </r>
  </si>
  <si>
    <t>Level 1</t>
  </si>
  <si>
    <r>
      <rPr>
        <rFont val="Arial"/>
        <color theme="1"/>
      </rPr>
      <t xml:space="preserve">Level </t>
    </r>
    <r>
      <rPr>
        <rFont val="Arial"/>
        <b/>
        <color theme="1"/>
      </rPr>
      <t>31</t>
    </r>
  </si>
  <si>
    <t>50 ins</t>
  </si>
  <si>
    <t>30 ins</t>
  </si>
  <si>
    <r>
      <rPr>
        <rFont val="Arial"/>
        <color theme="1"/>
      </rPr>
      <t xml:space="preserve">Level </t>
    </r>
    <r>
      <rPr>
        <rFont val="Arial"/>
        <b/>
        <color theme="1"/>
      </rPr>
      <t>1</t>
    </r>
  </si>
  <si>
    <t>Soldier Ft + Swordman Ft + hybrid</t>
  </si>
  <si>
    <t>TIER 2</t>
  </si>
  <si>
    <t>Level 18</t>
  </si>
  <si>
    <t>Level 20</t>
  </si>
  <si>
    <t>Unlock Line 2</t>
  </si>
  <si>
    <t>1d10</t>
  </si>
  <si>
    <t>*.*                                       Class unlock</t>
  </si>
  <si>
    <t>Skill Upgrade (Support)</t>
  </si>
  <si>
    <t>⭐⭐</t>
  </si>
  <si>
    <r>
      <rPr>
        <rFont val="Calibri"/>
        <b/>
        <color theme="1"/>
        <sz val="11.0"/>
      </rPr>
      <t>Swordman [</t>
    </r>
    <r>
      <rPr>
        <rFont val="Calibri"/>
        <b/>
        <color rgb="FFBF9000"/>
        <sz val="11.0"/>
      </rPr>
      <t>AGI</t>
    </r>
    <r>
      <rPr>
        <rFont val="Calibri"/>
        <b/>
        <color theme="1"/>
        <sz val="11.0"/>
      </rPr>
      <t>]</t>
    </r>
  </si>
  <si>
    <r>
      <rPr>
        <rFont val="Calibri"/>
        <b/>
        <color theme="1"/>
        <sz val="11.0"/>
      </rPr>
      <t>Barbarian [</t>
    </r>
    <r>
      <rPr>
        <rFont val="Calibri"/>
        <b/>
        <color rgb="FF833C0B"/>
        <sz val="11.0"/>
      </rPr>
      <t>STR</t>
    </r>
    <r>
      <rPr>
        <rFont val="Calibri"/>
        <b/>
        <color theme="1"/>
        <sz val="11.0"/>
      </rPr>
      <t>]</t>
    </r>
  </si>
  <si>
    <r>
      <rPr>
        <rFont val="Calibri"/>
        <b/>
        <color theme="1"/>
        <sz val="11.0"/>
      </rPr>
      <t>Soldier</t>
    </r>
    <r>
      <rPr>
        <rFont val="Calibri"/>
        <b val="0"/>
        <i/>
        <color theme="1"/>
        <sz val="8.0"/>
      </rPr>
      <t xml:space="preserve"> (Infantry)</t>
    </r>
    <r>
      <rPr>
        <rFont val="Calibri"/>
        <b/>
        <color theme="1"/>
        <sz val="11.0"/>
      </rPr>
      <t xml:space="preserve"> [</t>
    </r>
    <r>
      <rPr>
        <rFont val="Calibri"/>
        <b/>
        <color rgb="FF7F7F7F"/>
        <sz val="11.0"/>
      </rPr>
      <t>VAR</t>
    </r>
    <r>
      <rPr>
        <rFont val="Calibri"/>
        <b/>
        <color theme="1"/>
        <sz val="11.0"/>
      </rPr>
      <t>]</t>
    </r>
  </si>
  <si>
    <r>
      <rPr>
        <rFont val="Calibri"/>
        <b/>
        <color theme="1"/>
        <sz val="9.0"/>
      </rPr>
      <t xml:space="preserve">Max Level </t>
    </r>
    <r>
      <rPr>
        <rFont val="Calibri"/>
        <b/>
        <color rgb="FFC00000"/>
        <sz val="12.0"/>
      </rPr>
      <t>30</t>
    </r>
  </si>
  <si>
    <r>
      <rPr>
        <rFont val="Arial"/>
        <color theme="1"/>
      </rPr>
      <t xml:space="preserve">Level </t>
    </r>
    <r>
      <rPr>
        <rFont val="Arial"/>
        <b/>
        <color theme="1"/>
      </rPr>
      <t>19</t>
    </r>
  </si>
  <si>
    <r>
      <rPr>
        <rFont val="Calibri"/>
        <b/>
        <color theme="1"/>
        <sz val="9.0"/>
      </rPr>
      <t xml:space="preserve">Max Level </t>
    </r>
    <r>
      <rPr>
        <rFont val="Calibri"/>
        <b/>
        <color rgb="FF7F6000"/>
        <sz val="12.0"/>
      </rPr>
      <t>30</t>
    </r>
  </si>
  <si>
    <r>
      <rPr>
        <rFont val="Arial"/>
        <color theme="1"/>
      </rPr>
      <t xml:space="preserve">Level </t>
    </r>
    <r>
      <rPr>
        <rFont val="Arial"/>
        <b/>
        <color theme="1"/>
      </rPr>
      <t>31</t>
    </r>
  </si>
  <si>
    <t>TIER 3</t>
  </si>
  <si>
    <t>Level 58</t>
  </si>
  <si>
    <t>Unlock Line 3</t>
  </si>
  <si>
    <r>
      <rPr>
        <rFont val="Calibri"/>
        <b/>
        <color theme="1"/>
        <sz val="9.0"/>
      </rPr>
      <t xml:space="preserve">Max Level </t>
    </r>
    <r>
      <rPr>
        <rFont val="Calibri"/>
        <b/>
        <color rgb="FF0070C0"/>
        <sz val="12.0"/>
      </rPr>
      <t>30</t>
    </r>
  </si>
  <si>
    <t>Req;</t>
  </si>
  <si>
    <t>Base Level 20</t>
  </si>
  <si>
    <r>
      <rPr>
        <rFont val="Arial"/>
        <color theme="1"/>
      </rPr>
      <t xml:space="preserve">Level </t>
    </r>
    <r>
      <rPr>
        <rFont val="Arial"/>
        <b/>
        <color theme="1"/>
      </rPr>
      <t>49</t>
    </r>
  </si>
  <si>
    <r>
      <rPr>
        <rFont val="Arial"/>
        <color theme="1"/>
      </rPr>
      <t xml:space="preserve">Level </t>
    </r>
    <r>
      <rPr>
        <rFont val="Arial"/>
        <b/>
        <color theme="1"/>
      </rPr>
      <t>61</t>
    </r>
  </si>
  <si>
    <t>Skill Ft (25) + Attribtue Ft (300)</t>
  </si>
  <si>
    <t>*.*.*                                       Class unlock</t>
  </si>
  <si>
    <t>Domini (-5CP)</t>
  </si>
  <si>
    <t>Skill Spec (Rare)</t>
  </si>
  <si>
    <t>"The Warrior focuses on his weapon and becomes one with it"</t>
  </si>
  <si>
    <t>"Warrior becomes fierce, tough, primal like a force of nature"</t>
  </si>
  <si>
    <t>"Warrior Combines Discipline, coordination and martial skill into one"</t>
  </si>
  <si>
    <t>Focus(base)</t>
  </si>
  <si>
    <t>STR 150</t>
  </si>
  <si>
    <r>
      <rPr>
        <rFont val="Arial"/>
        <color theme="1"/>
      </rPr>
      <t xml:space="preserve">Level </t>
    </r>
    <r>
      <rPr>
        <rFont val="Arial"/>
        <b/>
        <color theme="1"/>
      </rPr>
      <t>49</t>
    </r>
  </si>
  <si>
    <r>
      <rPr>
        <rFont val="Arial"/>
        <color theme="1"/>
      </rPr>
      <t xml:space="preserve">Level </t>
    </r>
    <r>
      <rPr>
        <rFont val="Arial"/>
        <b/>
        <color theme="1"/>
      </rPr>
      <t>61</t>
    </r>
  </si>
  <si>
    <t>TIER 4</t>
  </si>
  <si>
    <t>Level 93</t>
  </si>
  <si>
    <t>Level 97</t>
  </si>
  <si>
    <t>Unlock Line 4</t>
  </si>
  <si>
    <t>Level 88</t>
  </si>
  <si>
    <t>Level 87</t>
  </si>
  <si>
    <t>* Gain Advanced Knowledge (Weapon, Armor, Intimidation, Discipline)</t>
  </si>
  <si>
    <t>Advanced Knowledge</t>
  </si>
  <si>
    <t>Specialization (I)</t>
  </si>
  <si>
    <t>* Gain Advanced Knowledge (Weapon, Armor, Intimidation, Battle)</t>
  </si>
  <si>
    <t>* Gain Advanced Knowledge ( Weapon, Armor, Battle, Discipline)</t>
  </si>
  <si>
    <r>
      <rPr>
        <rFont val="Arial"/>
        <color theme="1"/>
      </rPr>
      <t xml:space="preserve">Level </t>
    </r>
    <r>
      <rPr>
        <rFont val="Arial"/>
        <b/>
        <color theme="1"/>
      </rPr>
      <t>69</t>
    </r>
  </si>
  <si>
    <r>
      <rPr>
        <rFont val="Arial"/>
        <color theme="1"/>
      </rPr>
      <t xml:space="preserve">Level </t>
    </r>
    <r>
      <rPr>
        <rFont val="Arial"/>
        <b/>
        <color theme="1"/>
      </rPr>
      <t>91</t>
    </r>
  </si>
  <si>
    <t>Skill Ft (40) + Rare Ft</t>
  </si>
  <si>
    <t>*.*.*.*                                       Class unlock</t>
  </si>
  <si>
    <t>Skill Upgrade (Core)</t>
  </si>
  <si>
    <t>⭐⭐⭐</t>
  </si>
  <si>
    <t>Enlighted Swdman</t>
  </si>
  <si>
    <r>
      <rPr>
        <rFont val="Arial"/>
        <color theme="1"/>
      </rPr>
      <t xml:space="preserve">Level </t>
    </r>
    <r>
      <rPr>
        <rFont val="Arial"/>
        <b/>
        <color theme="1"/>
      </rPr>
      <t>69</t>
    </r>
  </si>
  <si>
    <r>
      <rPr>
        <rFont val="Arial"/>
        <color theme="1"/>
      </rPr>
      <t xml:space="preserve">Level </t>
    </r>
    <r>
      <rPr>
        <rFont val="Arial"/>
        <b/>
        <color theme="1"/>
      </rPr>
      <t>91</t>
    </r>
  </si>
  <si>
    <t>Duelist</t>
  </si>
  <si>
    <t>TIER 5</t>
  </si>
  <si>
    <t>Level 137</t>
  </si>
  <si>
    <t>Level 138</t>
  </si>
  <si>
    <t>Unlock Line 5</t>
  </si>
  <si>
    <t>Viking</t>
  </si>
  <si>
    <t>Level 125</t>
  </si>
  <si>
    <t>BloodFury</t>
  </si>
  <si>
    <t>Level 128</t>
  </si>
  <si>
    <t>Guardsman</t>
  </si>
  <si>
    <t>Raider</t>
  </si>
  <si>
    <t>Justiciar</t>
  </si>
  <si>
    <t>CP Bonus</t>
  </si>
  <si>
    <t>-3 to CP cost</t>
  </si>
  <si>
    <r>
      <rPr>
        <rFont val="Calibri"/>
        <b/>
        <color theme="1"/>
        <sz val="9.0"/>
      </rPr>
      <t xml:space="preserve">Max Level </t>
    </r>
    <r>
      <rPr>
        <rFont val="Calibri"/>
        <b/>
        <color rgb="FFC00000"/>
        <sz val="12.0"/>
      </rPr>
      <t>40</t>
    </r>
  </si>
  <si>
    <r>
      <rPr>
        <rFont val="Arial"/>
        <color theme="1"/>
      </rPr>
      <t xml:space="preserve">Level </t>
    </r>
    <r>
      <rPr>
        <rFont val="Arial"/>
        <b/>
        <color theme="1"/>
      </rPr>
      <t>98</t>
    </r>
  </si>
  <si>
    <r>
      <rPr>
        <rFont val="Arial"/>
        <color theme="1"/>
      </rPr>
      <t xml:space="preserve">Level </t>
    </r>
    <r>
      <rPr>
        <rFont val="Arial"/>
        <b/>
        <color theme="1"/>
      </rPr>
      <t>110</t>
    </r>
  </si>
  <si>
    <r>
      <rPr>
        <rFont val="Calibri"/>
        <b/>
        <color theme="1"/>
        <sz val="9.0"/>
      </rPr>
      <t xml:space="preserve">Max Level </t>
    </r>
    <r>
      <rPr>
        <rFont val="Calibri"/>
        <b/>
        <color rgb="FFC00000"/>
        <sz val="12.0"/>
      </rPr>
      <t>40</t>
    </r>
  </si>
  <si>
    <r>
      <rPr>
        <rFont val="Calibri"/>
        <b/>
        <color theme="1"/>
        <sz val="9.0"/>
      </rPr>
      <t xml:space="preserve">Max Level </t>
    </r>
    <r>
      <rPr>
        <rFont val="Calibri"/>
        <b/>
        <color rgb="FF00B050"/>
        <sz val="12.0"/>
      </rPr>
      <t>40</t>
    </r>
  </si>
  <si>
    <t>Nature - Druid Type Specializaciation (</t>
  </si>
  <si>
    <r>
      <rPr>
        <rFont val="Calibri"/>
        <b/>
        <color theme="1"/>
        <sz val="9.0"/>
      </rPr>
      <t xml:space="preserve">Max Level </t>
    </r>
    <r>
      <rPr>
        <rFont val="Calibri"/>
        <b/>
        <color rgb="FF00B050"/>
        <sz val="12.0"/>
      </rPr>
      <t>40</t>
    </r>
  </si>
  <si>
    <r>
      <rPr>
        <rFont val="Calibri"/>
        <b/>
        <color theme="1"/>
        <sz val="9.0"/>
      </rPr>
      <t xml:space="preserve">Max Level </t>
    </r>
    <r>
      <rPr>
        <rFont val="Calibri"/>
        <b/>
        <color rgb="FF0070C0"/>
        <sz val="12.0"/>
      </rPr>
      <t>40</t>
    </r>
  </si>
  <si>
    <t>includes discounts, min 5</t>
  </si>
  <si>
    <r>
      <rPr>
        <rFont val="Calibri"/>
        <b/>
        <color theme="1"/>
        <sz val="9.0"/>
      </rPr>
      <t xml:space="preserve">Max Level </t>
    </r>
    <r>
      <rPr>
        <rFont val="Calibri"/>
        <b/>
        <color rgb="FF0070C0"/>
        <sz val="12.0"/>
      </rPr>
      <t>40</t>
    </r>
  </si>
  <si>
    <t>sup</t>
  </si>
  <si>
    <t>Nature Focus</t>
  </si>
  <si>
    <t>core</t>
  </si>
  <si>
    <r>
      <rPr>
        <rFont val="Calibri"/>
        <b/>
        <color theme="1"/>
        <sz val="9.0"/>
      </rPr>
      <t xml:space="preserve">Max Level </t>
    </r>
    <r>
      <rPr>
        <rFont val="Calibri"/>
        <b/>
        <color rgb="FFCC00CC"/>
        <sz val="12.0"/>
      </rPr>
      <t>40</t>
    </r>
  </si>
  <si>
    <t>Nature Sense (Terrain)</t>
  </si>
  <si>
    <t>Line of Ley</t>
  </si>
  <si>
    <t>BFT</t>
  </si>
  <si>
    <t>s</t>
  </si>
  <si>
    <t>(-5 if body 250+)</t>
  </si>
  <si>
    <t>c</t>
  </si>
  <si>
    <t>Lesser Terrain Domain</t>
  </si>
  <si>
    <t>s-d</t>
  </si>
  <si>
    <t>c-d</t>
  </si>
  <si>
    <r>
      <rPr>
        <rFont val="Arial"/>
        <color theme="1"/>
      </rPr>
      <t xml:space="preserve">Level </t>
    </r>
    <r>
      <rPr>
        <rFont val="Arial"/>
        <b/>
        <color theme="1"/>
      </rPr>
      <t>98</t>
    </r>
  </si>
  <si>
    <t>CAR</t>
  </si>
  <si>
    <t>lvs</t>
  </si>
  <si>
    <t>Nature Sense (Totem)</t>
  </si>
  <si>
    <r>
      <rPr>
        <rFont val="Arial"/>
        <color theme="1"/>
      </rPr>
      <t xml:space="preserve">Level </t>
    </r>
    <r>
      <rPr>
        <rFont val="Arial"/>
        <b/>
        <color theme="1"/>
      </rPr>
      <t>110</t>
    </r>
  </si>
  <si>
    <t>Lesser Totem Domain</t>
  </si>
  <si>
    <t>Final Ft  + Attribute ft (350)</t>
  </si>
  <si>
    <t>2d10</t>
  </si>
  <si>
    <t>Blessing of Umbra</t>
  </si>
  <si>
    <t xml:space="preserve">Dual Class Warrior </t>
  </si>
  <si>
    <t>Nature Sense (Elemental)</t>
  </si>
  <si>
    <t>Lesser Elemental Domain</t>
  </si>
  <si>
    <t>Feat Upgrade                        Skill Spec (Epic)</t>
  </si>
  <si>
    <t>Elemental Sense</t>
  </si>
  <si>
    <t>Wild Empathy</t>
  </si>
  <si>
    <t>Wild Caller</t>
  </si>
  <si>
    <t>Animal Charm</t>
  </si>
  <si>
    <t>* Weapon Focus Keystone</t>
  </si>
  <si>
    <t>Magic Beast Emphaty</t>
  </si>
  <si>
    <t xml:space="preserve"> </t>
  </si>
  <si>
    <t>*Additional Movility Skills</t>
  </si>
  <si>
    <t>WILL</t>
  </si>
  <si>
    <t>Guide of the Land</t>
  </si>
  <si>
    <t>Woodland Stride</t>
  </si>
  <si>
    <t>* Gain Combat Skill Levels</t>
  </si>
  <si>
    <t>Guide of the Mist</t>
  </si>
  <si>
    <t>Sun / Moon Walker</t>
  </si>
  <si>
    <t>* Anti-Monster Keystone</t>
  </si>
  <si>
    <t>Natural Harmony</t>
  </si>
  <si>
    <t>Voice of Nature</t>
  </si>
  <si>
    <t>* Defender Keystone</t>
  </si>
  <si>
    <t>Eyes of Evergreen</t>
  </si>
  <si>
    <t>class</t>
  </si>
  <si>
    <t>Bounty of Nature</t>
  </si>
  <si>
    <t>cost</t>
  </si>
  <si>
    <t>*Additional Judgement Skills</t>
  </si>
  <si>
    <t>Vagrant</t>
  </si>
  <si>
    <t>Man-at-Arms</t>
  </si>
  <si>
    <t>Cimmerian</t>
  </si>
  <si>
    <t>Totem Warrior</t>
  </si>
  <si>
    <t>Myrmidon Soldier</t>
  </si>
  <si>
    <t>Squad Leader</t>
  </si>
  <si>
    <t>Ripper</t>
  </si>
  <si>
    <r>
      <rPr>
        <rFont val="Calibri"/>
        <b/>
        <color theme="1"/>
        <sz val="9.0"/>
      </rPr>
      <t xml:space="preserve">Max Level </t>
    </r>
    <r>
      <rPr>
        <rFont val="Calibri"/>
        <b/>
        <color rgb="FFC00000"/>
        <sz val="12.0"/>
      </rPr>
      <t>40</t>
    </r>
  </si>
  <si>
    <r>
      <rPr>
        <rFont val="Calibri"/>
        <b/>
        <color theme="1"/>
        <sz val="9.0"/>
      </rPr>
      <t xml:space="preserve">Max Level </t>
    </r>
    <r>
      <rPr>
        <rFont val="Calibri"/>
        <b/>
        <color rgb="FFC00000"/>
        <sz val="12.0"/>
      </rPr>
      <t>40</t>
    </r>
  </si>
  <si>
    <r>
      <rPr>
        <rFont val="Calibri"/>
        <b/>
        <color theme="1"/>
        <sz val="9.0"/>
      </rPr>
      <t xml:space="preserve">Max Level </t>
    </r>
    <r>
      <rPr>
        <rFont val="Calibri"/>
        <b/>
        <color rgb="FF00B050"/>
        <sz val="12.0"/>
      </rPr>
      <t>40</t>
    </r>
  </si>
  <si>
    <r>
      <rPr>
        <rFont val="Calibri"/>
        <b/>
        <color theme="1"/>
        <sz val="9.0"/>
      </rPr>
      <t xml:space="preserve">Max Level </t>
    </r>
    <r>
      <rPr>
        <rFont val="Calibri"/>
        <b/>
        <color rgb="FF00B050"/>
        <sz val="12.0"/>
      </rPr>
      <t>40</t>
    </r>
  </si>
  <si>
    <r>
      <rPr>
        <rFont val="Calibri"/>
        <b/>
        <color theme="1"/>
        <sz val="9.0"/>
      </rPr>
      <t xml:space="preserve">Max Level </t>
    </r>
    <r>
      <rPr>
        <rFont val="Calibri"/>
        <b/>
        <color rgb="FF0070C0"/>
        <sz val="12.0"/>
      </rPr>
      <t>40</t>
    </r>
  </si>
  <si>
    <r>
      <rPr>
        <rFont val="Calibri"/>
        <b/>
        <color theme="1"/>
        <sz val="9.0"/>
      </rPr>
      <t xml:space="preserve">Max Level </t>
    </r>
    <r>
      <rPr>
        <rFont val="Calibri"/>
        <b/>
        <color rgb="FF0070C0"/>
        <sz val="12.0"/>
      </rPr>
      <t>40</t>
    </r>
  </si>
  <si>
    <r>
      <rPr>
        <rFont val="Calibri"/>
        <b/>
        <color theme="1"/>
        <sz val="9.0"/>
      </rPr>
      <t xml:space="preserve">Max Level </t>
    </r>
    <r>
      <rPr>
        <rFont val="Calibri"/>
        <b/>
        <color rgb="FFCC00CC"/>
        <sz val="12.0"/>
      </rPr>
      <t>40</t>
    </r>
  </si>
  <si>
    <t>Warrior Keystone</t>
  </si>
  <si>
    <t>* Multi-Weapon Keystone</t>
  </si>
  <si>
    <t>* Ironskin Keystone</t>
  </si>
  <si>
    <t>* Additional Totem Skills</t>
  </si>
  <si>
    <t>* "Group Combat" Keystone</t>
  </si>
  <si>
    <t>* Additional Leadership Skills</t>
  </si>
  <si>
    <t>HP + 30</t>
  </si>
  <si>
    <t>CP Cost −3 (−5 if Body ≥ 250)</t>
  </si>
  <si>
    <t>Battle</t>
  </si>
  <si>
    <t>⭐⭐⭐⭐</t>
  </si>
  <si>
    <t>Focus(Sp I)</t>
  </si>
  <si>
    <t>GreatSwdman</t>
  </si>
  <si>
    <t>Gladiator</t>
  </si>
  <si>
    <t>Hersir</t>
  </si>
  <si>
    <t>Berserker</t>
  </si>
  <si>
    <t>Guardian</t>
  </si>
  <si>
    <t>ins</t>
  </si>
  <si>
    <t>Commando</t>
  </si>
  <si>
    <t>Grey Warden</t>
  </si>
  <si>
    <t>I</t>
  </si>
  <si>
    <t>STR + 20</t>
  </si>
  <si>
    <t>Skill Level +2</t>
  </si>
  <si>
    <r>
      <rPr>
        <rFont val="Calibri"/>
        <b/>
        <color theme="1"/>
        <sz val="9.0"/>
      </rPr>
      <t xml:space="preserve">Extra </t>
    </r>
    <r>
      <rPr>
        <rFont val="Calibri"/>
        <b/>
        <color rgb="FFC00000"/>
        <sz val="10.0"/>
      </rPr>
      <t>10</t>
    </r>
    <r>
      <rPr>
        <rFont val="Calibri"/>
        <b/>
        <color theme="1"/>
        <sz val="9.0"/>
      </rPr>
      <t xml:space="preserve"> Levels</t>
    </r>
  </si>
  <si>
    <r>
      <rPr>
        <rFont val="Calibri"/>
        <b/>
        <color theme="1"/>
        <sz val="9.0"/>
      </rPr>
      <t xml:space="preserve">Extra </t>
    </r>
    <r>
      <rPr>
        <rFont val="Calibri"/>
        <b/>
        <color rgb="FFC00000"/>
        <sz val="10.0"/>
      </rPr>
      <t>10</t>
    </r>
    <r>
      <rPr>
        <rFont val="Calibri"/>
        <b/>
        <color theme="1"/>
        <sz val="9.0"/>
      </rPr>
      <t xml:space="preserve"> Levels</t>
    </r>
  </si>
  <si>
    <r>
      <rPr>
        <rFont val="Calibri"/>
        <b/>
        <color theme="1"/>
        <sz val="9.0"/>
      </rPr>
      <t xml:space="preserve">Extra </t>
    </r>
    <r>
      <rPr>
        <rFont val="Calibri"/>
        <b/>
        <color rgb="FF00B050"/>
        <sz val="10.0"/>
      </rPr>
      <t>10</t>
    </r>
    <r>
      <rPr>
        <rFont val="Calibri"/>
        <b/>
        <color theme="1"/>
        <sz val="9.0"/>
      </rPr>
      <t xml:space="preserve"> Levels</t>
    </r>
  </si>
  <si>
    <r>
      <rPr>
        <rFont val="Calibri"/>
        <b/>
        <color theme="1"/>
        <sz val="9.0"/>
      </rPr>
      <t xml:space="preserve">Extra </t>
    </r>
    <r>
      <rPr>
        <rFont val="Calibri"/>
        <b/>
        <color rgb="FF00B050"/>
        <sz val="10.0"/>
      </rPr>
      <t>10</t>
    </r>
    <r>
      <rPr>
        <rFont val="Calibri"/>
        <b/>
        <color theme="1"/>
        <sz val="9.0"/>
      </rPr>
      <t xml:space="preserve"> Levels</t>
    </r>
  </si>
  <si>
    <r>
      <rPr>
        <rFont val="Calibri"/>
        <b/>
        <color theme="1"/>
        <sz val="9.0"/>
      </rPr>
      <t xml:space="preserve">Extra </t>
    </r>
    <r>
      <rPr>
        <rFont val="Calibri"/>
        <b/>
        <color rgb="FF0070C0"/>
        <sz val="10.0"/>
      </rPr>
      <t>10</t>
    </r>
    <r>
      <rPr>
        <rFont val="Calibri"/>
        <b/>
        <color theme="1"/>
        <sz val="9.0"/>
      </rPr>
      <t xml:space="preserve"> Levels</t>
    </r>
  </si>
  <si>
    <r>
      <rPr>
        <rFont val="Calibri"/>
        <b/>
        <color theme="1"/>
        <sz val="9.0"/>
      </rPr>
      <t xml:space="preserve">Extra </t>
    </r>
    <r>
      <rPr>
        <rFont val="Calibri"/>
        <b/>
        <color rgb="FF0070C0"/>
        <sz val="10.0"/>
      </rPr>
      <t>10</t>
    </r>
    <r>
      <rPr>
        <rFont val="Calibri"/>
        <b/>
        <color theme="1"/>
        <sz val="9.0"/>
      </rPr>
      <t xml:space="preserve"> Levels</t>
    </r>
  </si>
  <si>
    <r>
      <rPr>
        <rFont val="Calibri"/>
        <b/>
        <color theme="1"/>
        <sz val="9.0"/>
      </rPr>
      <t xml:space="preserve">Extra </t>
    </r>
    <r>
      <rPr>
        <rFont val="Calibri"/>
        <b/>
        <color rgb="FFCC00CC"/>
        <sz val="11.0"/>
      </rPr>
      <t>10</t>
    </r>
    <r>
      <rPr>
        <rFont val="Calibri"/>
        <b/>
        <color rgb="FF00B050"/>
        <sz val="11.0"/>
      </rPr>
      <t xml:space="preserve"> </t>
    </r>
    <r>
      <rPr>
        <rFont val="Calibri"/>
        <b/>
        <color theme="1"/>
        <sz val="9.0"/>
      </rPr>
      <t>Levels</t>
    </r>
  </si>
  <si>
    <t>II</t>
  </si>
  <si>
    <t>Wound level +1</t>
  </si>
  <si>
    <t>CP +30</t>
  </si>
  <si>
    <r>
      <rPr>
        <rFont val="Arial"/>
        <b/>
        <color theme="1"/>
      </rPr>
      <t xml:space="preserve">Pack Coordination </t>
    </r>
    <r>
      <rPr>
        <rFont val="Arial"/>
        <b val="0"/>
        <color rgb="FF0000FF"/>
      </rPr>
      <t>( Battle Lv 10, Warrior T0, Rank: Normal)</t>
    </r>
  </si>
  <si>
    <t>Lighting Blade</t>
  </si>
  <si>
    <t>Weapon Master</t>
  </si>
  <si>
    <t>Marauder</t>
  </si>
  <si>
    <t>Beast Walker</t>
  </si>
  <si>
    <t>Storm Trooper</t>
  </si>
  <si>
    <t>Warrior Commander</t>
  </si>
  <si>
    <t>ManSlayer</t>
  </si>
  <si>
    <t>III</t>
  </si>
  <si>
    <t xml:space="preserve">AGI + 20 </t>
  </si>
  <si>
    <t>Free Skill Upgrade</t>
  </si>
  <si>
    <t>Battle I</t>
  </si>
  <si>
    <t>Shared Execution</t>
  </si>
  <si>
    <t>Line #1 - Entry Level</t>
  </si>
  <si>
    <r>
      <rPr>
        <rFont val="Calibri"/>
        <b/>
        <color theme="1"/>
        <sz val="9.0"/>
      </rPr>
      <t xml:space="preserve">Extra </t>
    </r>
    <r>
      <rPr>
        <rFont val="Calibri"/>
        <b/>
        <color rgb="FFC00000"/>
        <sz val="10.0"/>
      </rPr>
      <t>10</t>
    </r>
    <r>
      <rPr>
        <rFont val="Calibri"/>
        <b/>
        <color theme="1"/>
        <sz val="9.0"/>
      </rPr>
      <t xml:space="preserve"> Levels</t>
    </r>
  </si>
  <si>
    <r>
      <rPr>
        <rFont val="Calibri"/>
        <b/>
        <color theme="1"/>
        <sz val="9.0"/>
      </rPr>
      <t xml:space="preserve">Extra </t>
    </r>
    <r>
      <rPr>
        <rFont val="Calibri"/>
        <b/>
        <color rgb="FFC00000"/>
        <sz val="10.0"/>
      </rPr>
      <t>10</t>
    </r>
    <r>
      <rPr>
        <rFont val="Calibri"/>
        <b/>
        <color theme="1"/>
        <sz val="9.0"/>
      </rPr>
      <t xml:space="preserve"> Levels</t>
    </r>
  </si>
  <si>
    <r>
      <rPr>
        <rFont val="Calibri"/>
        <b/>
        <color theme="1"/>
        <sz val="9.0"/>
      </rPr>
      <t xml:space="preserve">Extra </t>
    </r>
    <r>
      <rPr>
        <rFont val="Calibri"/>
        <b/>
        <color rgb="FF00B050"/>
        <sz val="10.0"/>
      </rPr>
      <t>10</t>
    </r>
    <r>
      <rPr>
        <rFont val="Calibri"/>
        <b/>
        <color theme="1"/>
        <sz val="9.0"/>
      </rPr>
      <t xml:space="preserve"> Levels</t>
    </r>
  </si>
  <si>
    <r>
      <rPr>
        <rFont val="Calibri"/>
        <b/>
        <color theme="1"/>
        <sz val="9.0"/>
      </rPr>
      <t xml:space="preserve">Extra </t>
    </r>
    <r>
      <rPr>
        <rFont val="Calibri"/>
        <b/>
        <color rgb="FF00B050"/>
        <sz val="10.0"/>
      </rPr>
      <t>10</t>
    </r>
    <r>
      <rPr>
        <rFont val="Calibri"/>
        <b/>
        <color theme="1"/>
        <sz val="9.0"/>
      </rPr>
      <t xml:space="preserve"> Levels</t>
    </r>
  </si>
  <si>
    <r>
      <rPr>
        <rFont val="Calibri"/>
        <b/>
        <color theme="1"/>
        <sz val="9.0"/>
      </rPr>
      <t xml:space="preserve">Extra </t>
    </r>
    <r>
      <rPr>
        <rFont val="Calibri"/>
        <b/>
        <color rgb="FF0070C0"/>
        <sz val="10.0"/>
      </rPr>
      <t>10</t>
    </r>
    <r>
      <rPr>
        <rFont val="Calibri"/>
        <b/>
        <color theme="1"/>
        <sz val="9.0"/>
      </rPr>
      <t xml:space="preserve"> Levels</t>
    </r>
  </si>
  <si>
    <r>
      <rPr>
        <rFont val="Calibri"/>
        <b/>
        <color theme="1"/>
        <sz val="9.0"/>
      </rPr>
      <t xml:space="preserve">Extra </t>
    </r>
    <r>
      <rPr>
        <rFont val="Calibri"/>
        <b/>
        <color rgb="FF0070C0"/>
        <sz val="10.0"/>
      </rPr>
      <t>10</t>
    </r>
    <r>
      <rPr>
        <rFont val="Calibri"/>
        <b/>
        <color theme="1"/>
        <sz val="9.0"/>
      </rPr>
      <t xml:space="preserve"> Levels</t>
    </r>
  </si>
  <si>
    <r>
      <rPr>
        <rFont val="Calibri"/>
        <b/>
        <color theme="1"/>
        <sz val="9.0"/>
      </rPr>
      <t xml:space="preserve">Extra </t>
    </r>
    <r>
      <rPr>
        <rFont val="Calibri"/>
        <b/>
        <color rgb="FFCC00CC"/>
        <sz val="11.0"/>
      </rPr>
      <t>10</t>
    </r>
    <r>
      <rPr>
        <rFont val="Calibri"/>
        <b/>
        <color rgb="FF00B050"/>
        <sz val="11.0"/>
      </rPr>
      <t xml:space="preserve"> </t>
    </r>
    <r>
      <rPr>
        <rFont val="Calibri"/>
        <b/>
        <color theme="1"/>
        <sz val="9.0"/>
      </rPr>
      <t>Levels</t>
    </r>
  </si>
  <si>
    <t>11-15</t>
  </si>
  <si>
    <t>IV</t>
  </si>
  <si>
    <t>BOD + 20 + Vit + 2</t>
  </si>
  <si>
    <t>domini</t>
  </si>
  <si>
    <t>CP Cost −6</t>
  </si>
  <si>
    <t>Multiple actions resolve as one coordinated execution</t>
  </si>
  <si>
    <t>−8 if Body ≥ 250</t>
  </si>
  <si>
    <t>Orderly Break</t>
  </si>
  <si>
    <t>Line #2 - Level +10</t>
  </si>
  <si>
    <t>Adept (-5CP)</t>
  </si>
  <si>
    <t>16-20</t>
  </si>
  <si>
    <t>−10 if Body ≥ 300</t>
  </si>
  <si>
    <t>When a coordinated execution ends voluntarily, it does not immediately create a counter-window for the enemy.</t>
  </si>
  <si>
    <t>Coordination Mistep</t>
  </si>
  <si>
    <t>Line #3 - Level +20</t>
  </si>
  <si>
    <t>Upgraded Skills</t>
  </si>
  <si>
    <t>when coordinating with teamates One failure in the group doesn’t cancel others only once</t>
  </si>
  <si>
    <t>S1 - Skill Lv 10</t>
  </si>
  <si>
    <t>S2 - Skill Lv 25</t>
  </si>
  <si>
    <t>S3 - Skill Lv 40</t>
  </si>
  <si>
    <t>Battle -&gt;</t>
  </si>
  <si>
    <t>3d10</t>
  </si>
  <si>
    <t>Common</t>
  </si>
  <si>
    <t>Total Ins</t>
  </si>
  <si>
    <r>
      <rPr>
        <rFont val="Calibri"/>
        <color theme="1"/>
        <sz val="11.0"/>
      </rPr>
      <t>Battle Tactics :</t>
    </r>
    <r>
      <rPr>
        <rFont val="Calibri"/>
        <color theme="1"/>
        <sz val="8.0"/>
      </rPr>
      <t xml:space="preserve"> in combat battle tactics can be used to spot combat oportunities and asset when the enemy is working to obtain an advantage. For example: in the next round, if you do not move from this area you will be blocked off from escape, and one round later you will be surrounded. A simple tactical superiority will offer additional circumstantial bonus to the user during a specific frame of time, on the other hand a obtaining a clear "advantage" such surrounding, or a high ground with a ranged weapon will either have the user roll twice and choose the best roll or directly take away dice from the target</t>
    </r>
  </si>
  <si>
    <r>
      <rPr>
        <rFont val="Arial"/>
        <b/>
        <color theme="1"/>
      </rPr>
      <t>Rotational Cover</t>
    </r>
    <r>
      <rPr>
        <rFont val="Arial"/>
        <b val="0"/>
        <color rgb="FF0000FF"/>
      </rPr>
      <t xml:space="preserve"> ( Battle Lv 10, Warrior T0, Rank: Normal)</t>
    </r>
  </si>
  <si>
    <t>Heavy Weapons</t>
  </si>
  <si>
    <t xml:space="preserve">Barbarian Vandal Fighting </t>
  </si>
  <si>
    <t>21-25</t>
  </si>
  <si>
    <t>[Rare]</t>
  </si>
  <si>
    <t xml:space="preserve">Vandal Rider Fighting </t>
  </si>
  <si>
    <t>Rare</t>
  </si>
  <si>
    <t>Superior Knowledge</t>
  </si>
  <si>
    <r>
      <rPr>
        <rFont val="Calibri"/>
        <color theme="1"/>
        <sz val="11.0"/>
      </rPr>
      <t>Battle Tactics II:</t>
    </r>
    <r>
      <rPr>
        <rFont val="Calibri"/>
        <color theme="1"/>
        <sz val="8.0"/>
      </rPr>
      <t xml:space="preserve"> your can add your battle roll score when performing combat teamwork tactics or, in case that the user is the combat leader: looking for team-type combat oportunities. However, please beware that this only works if the group is willingly working together and has some means to comunicate or has time to perform some adjustments. Team type combat oportunities can only be taken when the leader has a Battle skill on this same level at the very least</t>
    </r>
  </si>
  <si>
    <t>Total CP</t>
  </si>
  <si>
    <t>Covered Exchange</t>
  </si>
  <si>
    <t>the technique used by barbarians in battle where the use of armor is sacrificed for higher movility while using either Great blades, Great Axes or Great maces. It offers bonus while not using any armor or battle cloth armor</t>
  </si>
  <si>
    <t>Specialization (II)</t>
  </si>
  <si>
    <t xml:space="preserve">  -</t>
  </si>
  <si>
    <t xml:space="preserve">Vanguard Vandal Fighting </t>
  </si>
  <si>
    <t>Ally gains Protected when you swap places</t>
  </si>
  <si>
    <t xml:space="preserve">Weapon-and-shield Fighting </t>
  </si>
  <si>
    <t xml:space="preserve">Tower Soldier Fighting </t>
  </si>
  <si>
    <t>Discipline -&gt;</t>
  </si>
  <si>
    <t>Formation Integrity</t>
  </si>
  <si>
    <t>the techique used by profesional heavy soldiers, who wield large weapons along with heavy armor. This is an entry level skill which uses only non-exotic two handed weapons such as great hammer, great sword, and heavy spear, it offers bonus while using heavy armor</t>
  </si>
  <si>
    <t xml:space="preserve">Heavy Infantry Fighting </t>
  </si>
  <si>
    <r>
      <rPr>
        <rFont val="Calibri"/>
        <color theme="1"/>
        <sz val="11.0"/>
      </rPr>
      <t xml:space="preserve">Combat focus - </t>
    </r>
    <r>
      <rPr>
        <rFont val="Calibri"/>
        <color theme="1"/>
        <sz val="9.0"/>
      </rPr>
      <t>resist fear and cohesion based spirit attacks automatically when in battle</t>
    </r>
  </si>
  <si>
    <t>Rotation doesn’t break coordination</t>
  </si>
  <si>
    <t xml:space="preserve">Heavy Blade Fighting </t>
  </si>
  <si>
    <t>[Pro]</t>
  </si>
  <si>
    <t xml:space="preserve">Bastard Blade Fighting </t>
  </si>
  <si>
    <r>
      <rPr>
        <rFont val="Calibri"/>
        <color theme="1"/>
        <sz val="11.0"/>
      </rPr>
      <t>C. Focus II -</t>
    </r>
    <r>
      <rPr>
        <rFont val="Calibri"/>
        <color theme="1"/>
        <sz val="9.0"/>
      </rPr>
      <t xml:space="preserve"> when in combat defend against distractions automatically</t>
    </r>
  </si>
  <si>
    <t>Reaction Suppression</t>
  </si>
  <si>
    <t>The specialized use of heavy sword type weapons both in one hand and two hand forms, however, only heavy swords can be used with this technique</t>
  </si>
  <si>
    <t xml:space="preserve">Great Blade Fighting </t>
  </si>
  <si>
    <t>Enemy reactions suppressed once per round when covered exchange is triggered</t>
  </si>
  <si>
    <t xml:space="preserve">Heavy Spear Fighting </t>
  </si>
  <si>
    <t xml:space="preserve">Piercer edge Fighting </t>
  </si>
  <si>
    <t xml:space="preserve">Athletism -&gt; </t>
  </si>
  <si>
    <t>The specialized use of heavy spears type weapons both in one hand and two hand forms, however, only heavy spears can be used with this technique</t>
  </si>
  <si>
    <t xml:space="preserve">Spear Rider Fighting </t>
  </si>
  <si>
    <r>
      <rPr>
        <rFont val="Calibri"/>
        <color theme="1"/>
        <sz val="11.0"/>
      </rPr>
      <t xml:space="preserve">Action Man: </t>
    </r>
    <r>
      <rPr>
        <rFont val="Calibri"/>
        <color theme="1"/>
        <sz val="9.0"/>
      </rPr>
      <t>perform enhanced physical action such as Running, Jumping, etc. After the action there is a temporal fatigue debuff of 1 dice penalty, stackable</t>
    </r>
  </si>
  <si>
    <r>
      <rPr>
        <rFont val="Arial"/>
        <b/>
        <color theme="1"/>
      </rPr>
      <t>Coordinated Effort</t>
    </r>
    <r>
      <rPr>
        <rFont val="Arial"/>
        <color rgb="FF980000"/>
      </rPr>
      <t xml:space="preserve"> ( Battle Lv 10, Warrior T3, Rank: Rare)</t>
    </r>
  </si>
  <si>
    <t xml:space="preserve">Axeman Technique </t>
  </si>
  <si>
    <t>[Common]</t>
  </si>
  <si>
    <t>Explode 9's</t>
  </si>
  <si>
    <t>26-30</t>
  </si>
  <si>
    <t>Mattock Technique</t>
  </si>
  <si>
    <r>
      <rPr>
        <rFont val="Calibri"/>
        <color theme="1"/>
        <sz val="11.0"/>
      </rPr>
      <t xml:space="preserve">A.Man II - </t>
    </r>
    <r>
      <rPr>
        <rFont val="Calibri"/>
        <color theme="1"/>
        <sz val="9.0"/>
      </rPr>
      <t>you can perform a extended Athetism action, until you stop there is no sudden fatigue penalty. Stopping means to have one round where you do not perform athetism actions or you fail your athetism skill check</t>
    </r>
  </si>
  <si>
    <t>Battle I-R</t>
  </si>
  <si>
    <t>Coordination Threshold</t>
  </si>
  <si>
    <t>The specialized use of everyday axes used in heavy work such as woodcutting. this type weapons both in one hand and two hand forms, however, only heavy axes can be used with this technique</t>
  </si>
  <si>
    <t>adept</t>
  </si>
  <si>
    <t>max sim level</t>
  </si>
  <si>
    <t>Lumberjack Technique</t>
  </si>
  <si>
    <t>30-35</t>
  </si>
  <si>
    <t>Minimum success bracket required for coordination is reduced by one step (for you)</t>
  </si>
  <si>
    <t>Heavy Armor</t>
  </si>
  <si>
    <t>IronClad Technique (Inter)</t>
  </si>
  <si>
    <t>Ironclad Defender Combat</t>
  </si>
  <si>
    <t xml:space="preserve">Melee -&gt; </t>
  </si>
  <si>
    <t>36-40</t>
  </si>
  <si>
    <t>Sustained Coordination</t>
  </si>
  <si>
    <t>A technique for users combining heavy armor and shield, its a technique which armonizes both armor and shield into a single style, only midle level shields and heavy armors can be used in this style.</t>
  </si>
  <si>
    <t>Mobile Ironclad Combat</t>
  </si>
  <si>
    <r>
      <rPr>
        <rFont val="Calibri"/>
        <color theme="1"/>
        <sz val="11.0"/>
      </rPr>
      <t xml:space="preserve">All Melee Weapons: </t>
    </r>
    <r>
      <rPr>
        <rFont val="Calibri"/>
        <color theme="1"/>
        <sz val="9.0"/>
      </rPr>
      <t>Skill Level  ==  Weapon Priority</t>
    </r>
  </si>
  <si>
    <t>Maintaining coordination doesn’t increase difficulty for you</t>
  </si>
  <si>
    <t>Infantryman Armor Technique (Inter)</t>
  </si>
  <si>
    <t>Cabalry Armor Technique</t>
  </si>
  <si>
    <r>
      <rPr>
        <rFont val="Calibri"/>
        <color theme="1"/>
        <sz val="11.0"/>
      </rPr>
      <t xml:space="preserve">Heavy Melee Weapons: </t>
    </r>
    <r>
      <rPr>
        <rFont val="Calibri"/>
        <color theme="1"/>
        <sz val="9.0"/>
      </rPr>
      <t xml:space="preserve">Skill Level + 5 to Heavy Weapon Priority </t>
    </r>
  </si>
  <si>
    <t>Window Persistence</t>
  </si>
  <si>
    <t>A technique used by hybrid and Middle type armor used to defend a position. Its a technique which maximizes the defense of middle armor while keeping a moderate mobility, you could call it an all around armor mechanic used by most soldiers</t>
  </si>
  <si>
    <t>Adaptable Infantry Technique</t>
  </si>
  <si>
    <t>41-45</t>
  </si>
  <si>
    <r>
      <rPr>
        <rFont val="Calibri"/>
        <color theme="1"/>
        <sz val="11.0"/>
      </rPr>
      <t xml:space="preserve">Light Melee Weapons: </t>
    </r>
    <r>
      <rPr>
        <rFont val="Calibri"/>
        <color theme="1"/>
        <sz val="9.0"/>
      </rPr>
      <t xml:space="preserve">Skill Level + 5 to Light Weapon Priority </t>
    </r>
  </si>
  <si>
    <t>Opportunity remains valid for one extra allied action</t>
  </si>
  <si>
    <t>Juggernaut Armor Technique (Inter)</t>
  </si>
  <si>
    <t>Large Juggernaut Fighting</t>
  </si>
  <si>
    <t>expert</t>
  </si>
  <si>
    <t>A technique used by heavy and colosal type of armors users, made to be slow but extremely durable, its classically refered as "tank" type technique</t>
  </si>
  <si>
    <t>Light Juggernaut Fighting</t>
  </si>
  <si>
    <t>46-50</t>
  </si>
  <si>
    <t xml:space="preserve">Armor -&gt; </t>
  </si>
  <si>
    <r>
      <rPr>
        <rFont val="Arial"/>
        <b/>
        <color theme="1"/>
      </rPr>
      <t>Enduring Motion</t>
    </r>
    <r>
      <rPr>
        <rFont val="Arial"/>
        <color rgb="FF0000FF"/>
      </rPr>
      <t xml:space="preserve">  ( Athletics Lv 10, Warrior T0, Rank: Common)</t>
    </r>
  </si>
  <si>
    <t>Heavy Shield Technique (Basic)</t>
  </si>
  <si>
    <t>Great Shield Technique</t>
  </si>
  <si>
    <r>
      <rPr>
        <rFont val="Arial"/>
        <color theme="1"/>
      </rPr>
      <t xml:space="preserve">Level </t>
    </r>
    <r>
      <rPr>
        <rFont val="Arial"/>
        <b/>
        <color theme="1"/>
      </rPr>
      <t>107</t>
    </r>
  </si>
  <si>
    <r>
      <rPr>
        <rFont val="Calibri"/>
        <color theme="1"/>
        <sz val="11.0"/>
      </rPr>
      <t xml:space="preserve">All Melee Armor: </t>
    </r>
    <r>
      <rPr>
        <rFont val="Calibri"/>
        <color theme="1"/>
        <sz val="9.0"/>
      </rPr>
      <t>Skill Level  ==  Armor Priority</t>
    </r>
  </si>
  <si>
    <t>Athletics I</t>
  </si>
  <si>
    <t>Fatigue Delay</t>
  </si>
  <si>
    <t>A technique focuses on the use of large shields such as tower, knight and kite shields, including all middle and large shields. Its popular for knights and defenders</t>
  </si>
  <si>
    <t>Kite Shield Technique</t>
  </si>
  <si>
    <r>
      <rPr>
        <rFont val="Calibri"/>
        <color theme="1"/>
        <sz val="11.0"/>
      </rPr>
      <t xml:space="preserve">Heavy Armor: </t>
    </r>
    <r>
      <rPr>
        <rFont val="Calibri"/>
        <color theme="1"/>
        <sz val="9.0"/>
      </rPr>
      <t xml:space="preserve">Skill Level + 5 to Heavy Armor </t>
    </r>
  </si>
  <si>
    <t>The first stack of fatigue gained from an Athletism action does not apply until the end of the round.</t>
  </si>
  <si>
    <t>Discipline</t>
  </si>
  <si>
    <t>Martial Temperance (Basic)</t>
  </si>
  <si>
    <t>Martial Spirit Guard</t>
  </si>
  <si>
    <r>
      <rPr>
        <rFont val="Calibri"/>
        <color theme="1"/>
        <sz val="11.0"/>
      </rPr>
      <t xml:space="preserve">Light Armor: </t>
    </r>
    <r>
      <rPr>
        <rFont val="Calibri"/>
        <color theme="1"/>
        <sz val="9.0"/>
      </rPr>
      <t>Skill Level + 5 to Light Armor</t>
    </r>
  </si>
  <si>
    <t>Momentum Retention</t>
  </si>
  <si>
    <t>A martial warrior cultivates not only the body but also their mind and spirit. This is martial temperament, skill focused on rejecting the outside influences to attain the level of abandonment of oneself</t>
  </si>
  <si>
    <t>Tempered Temperance</t>
  </si>
  <si>
    <t>If consecutive Athletism actions are part of the same movement intent, additional fatigue stacks are reduced by 1 (minimum 1).</t>
  </si>
  <si>
    <t>Soldier's Way (Inter)</t>
  </si>
  <si>
    <t>Marshalling</t>
  </si>
  <si>
    <t>Controlled Breathing</t>
  </si>
  <si>
    <t xml:space="preserve">The way of the soldier, a discipline trained to endure harsh conditions and stand in battle witout loosing focus despite the battlefield natural chaos. </t>
  </si>
  <si>
    <t>Fatigue from Athletism actions recovers one step faster during short recovery windows.</t>
  </si>
  <si>
    <t>Bravery (Inter)</t>
  </si>
  <si>
    <t>Steel Guts</t>
  </si>
  <si>
    <t xml:space="preserve"> a trained discipline can lead to confront the natural fears, thus becoming someone with great control over one's own weakness, this is mostly focused on fear and terror inducing attacks, but it also works to counter other heart affecting events in lesser measure</t>
  </si>
  <si>
    <t>Fighting Instinct</t>
  </si>
  <si>
    <r>
      <rPr>
        <rFont val="Arial"/>
        <b/>
        <color theme="1"/>
      </rPr>
      <t>Ground Pillar</t>
    </r>
    <r>
      <rPr>
        <rFont val="Arial"/>
        <color rgb="FF0000FF"/>
      </rPr>
      <t xml:space="preserve">  ( Athletics Lv 10, Warrior T0, Rank: Common)</t>
    </r>
  </si>
  <si>
    <t>Combat Trickster (Inter)</t>
  </si>
  <si>
    <t>Focus(Sp II)</t>
  </si>
  <si>
    <t>Disruption Resistance</t>
  </si>
  <si>
    <t>the use of tactics in order to influence the battlefield on a small unipersonal or group based conflicts. The trickster skill allows the user to perform tactical manouver in the battlefield to mislead the enemy and give him the wrong impresión, it can also be used to block other people tactical reading of a circumstance</t>
  </si>
  <si>
    <t>Forced balance checks caused by external effects are treated as one bracket easier to resist.</t>
  </si>
  <si>
    <t>Combat Coordination (inter)</t>
  </si>
  <si>
    <t>Tactical Teamwork</t>
  </si>
  <si>
    <t>Unstable Surface Acuity</t>
  </si>
  <si>
    <t>the skill to work in teams and exploit the potential of coordination in the battlefield, it includes coordinated manuvers, combination techniques or simply groupal actions. This skill bonus all forms of singular combinations where the user is part of the action at the individual level, however, groupal actions needs the user to be the leader in order for this skill to be effective</t>
  </si>
  <si>
    <t>Penalties from uneven, narrow, or shifting terrain are reduced by one tier.</t>
  </si>
  <si>
    <t>Athletism</t>
  </si>
  <si>
    <t>Balance</t>
  </si>
  <si>
    <t>Efficient Exertion</t>
  </si>
  <si>
    <t>When an Athletism action succeeds, reduce resulting fatigue by 1 (minimum 1).</t>
  </si>
  <si>
    <t>Vaulter</t>
  </si>
  <si>
    <r>
      <rPr>
        <rFont val="Arial"/>
        <b/>
        <color theme="1"/>
      </rPr>
      <t>Jumping Jack</t>
    </r>
    <r>
      <rPr>
        <rFont val="Arial"/>
        <color rgb="FF0000FF"/>
      </rPr>
      <t xml:space="preserve">  ( Athletics Lv 10, Warrior T0, Rank: Common)</t>
    </r>
  </si>
  <si>
    <t>Sprinter</t>
  </si>
  <si>
    <t>Power Jump</t>
  </si>
  <si>
    <t>when jumping, your momentum grows and you gain temporal 1k0 of strenght</t>
  </si>
  <si>
    <t>Light Weapons</t>
  </si>
  <si>
    <t>Barbarian Scoundrel Technique</t>
  </si>
  <si>
    <t>Clean Landing</t>
  </si>
  <si>
    <t>the technique used by barbarians in battle where the use of armor is sacrificed for higher movility while using either Mid sized weapons of types blade and blunt. It offers bonus while not using any armor or battle cloth armor</t>
  </si>
  <si>
    <t>Landing penalties after jumps, drops, or vaults are reduced by one step.</t>
  </si>
  <si>
    <t>Footman Technique</t>
  </si>
  <si>
    <t>Recovery Frame</t>
  </si>
  <si>
    <t>the techique used by profesional infantry soldiers using light or middle armors, includes the use of a series of 5 weapons known as the infantry man classic weapons (Footman's Pike, Footman's Mace, Footman's Flail, Long sword and Javelin)  , this technique is capable of using any variation of these 5 weapon. These weapons are rather common in any army or guardpost and this technique offers bonus while using light or middle armors</t>
  </si>
  <si>
    <t>After a successful high-momentum action, the next non-Athletism action does not suffer movement-related penalties.</t>
  </si>
  <si>
    <t xml:space="preserve">Pikemen Technique </t>
  </si>
  <si>
    <t>The specialized use of one hand spear weapons and other piercing type weapons of any type weapons including both normal size and smaller sized weapons, however, only Light weapons can be used with this technique</t>
  </si>
  <si>
    <r>
      <rPr>
        <rFont val="Arial"/>
        <b/>
        <color theme="1"/>
      </rPr>
      <t>Steeled Resolve</t>
    </r>
    <r>
      <rPr>
        <rFont val="Arial"/>
        <color rgb="FF0000FF"/>
      </rPr>
      <t xml:space="preserve">  ( Discipline Lv 10, Warrior T0, Rank: Common)</t>
    </r>
  </si>
  <si>
    <t xml:space="preserve">Battle Hammer Technique </t>
  </si>
  <si>
    <t>Discipline I</t>
  </si>
  <si>
    <t>Fear Floor</t>
  </si>
  <si>
    <t>The specialized use of one hand blunt weapons of any type weapons including both normal size and smaller sized weapons, however, only Light weapons can be used with this technique</t>
  </si>
  <si>
    <t>Fear effects cannot reduce your effective combat capability below a defined baseline.</t>
  </si>
  <si>
    <t xml:space="preserve">Light Blade Technique </t>
  </si>
  <si>
    <t>Mental Bracing</t>
  </si>
  <si>
    <t>The specialized use of one hand blade weapons of any type weapons including both normal size and smaller sized weapons, however, only Light weapons can be used with this technique</t>
  </si>
  <si>
    <t>When resisting disruption effects, treat your current state as one step calmer.</t>
  </si>
  <si>
    <t>Light Armor</t>
  </si>
  <si>
    <t>BlitzClad Technique (Inter)</t>
  </si>
  <si>
    <t>Cohesion Hold</t>
  </si>
  <si>
    <t>Its called the agile defender, a technique created for troops which need high movility while keeping the advantages of a shield, it mixes partial light armor with hand shields or assambly shields, to produce a shock troops stronger defense. Its used by ambrushers and guerrilla units</t>
  </si>
  <si>
    <t>4d10</t>
  </si>
  <si>
    <t>When a combat event would force you into a loss-of-cohesion state (panic, collapse, rout, shock), that state is applied after your next declared action, not immediately.</t>
  </si>
  <si>
    <t>Gladiatior Armor Technique (Inter)</t>
  </si>
  <si>
    <t>A technique used by partial middle type armor or partial light armor used to cover the cover in a incomplete manner to keep movement at maxium at all times. Its a technique which maximizes the movility of the user by removing pieces of armor while keeping a moderate defense, you could call it specialized defense for attackers and damage dealers</t>
  </si>
  <si>
    <r>
      <rPr>
        <rFont val="Arial"/>
        <b/>
        <color theme="1"/>
      </rPr>
      <t>Tempered Nerves</t>
    </r>
    <r>
      <rPr>
        <rFont val="Arial"/>
        <color rgb="FF0000FF"/>
      </rPr>
      <t xml:space="preserve">  ( Discipline Lv 10, Warrior T0, Rank: Common)</t>
    </r>
  </si>
  <si>
    <t>Vanguard Armor Technique (Inter)</t>
  </si>
  <si>
    <t>Tempered Spirit</t>
  </si>
  <si>
    <t>A technique used by complete light armors users, made to keep movility and while keeping a high atack defense, its classically refered as the standart armor for most light infantry soldiers</t>
  </si>
  <si>
    <t>While resisting any mental or spiritual effect using will or spirit with Great success or more, you enter a state known as "Coolheaded"</t>
  </si>
  <si>
    <t>Light Shield Technique (Basic)</t>
  </si>
  <si>
    <t>Pain Override</t>
  </si>
  <si>
    <t>A technique focuses on the use of small shields such as rodela, small and hand shields, including all small and assambly shields. Its popular for soldiers and vanguards</t>
  </si>
  <si>
    <t>Reduce Pain or Damage penalty by 1 Dice or flat 4 with a Discipline roll, Automatic if on coolhead state</t>
  </si>
  <si>
    <t>Coolheaded State</t>
  </si>
  <si>
    <t>You may enter the Coolheaded state when combat begins.</t>
  </si>
  <si>
    <r>
      <rPr>
        <rFont val="Arial"/>
        <b/>
        <color theme="1"/>
      </rPr>
      <t>Fighting Spirit</t>
    </r>
    <r>
      <rPr>
        <rFont val="Arial"/>
        <color rgb="FF0000FF"/>
      </rPr>
      <t xml:space="preserve">  </t>
    </r>
    <r>
      <rPr>
        <rFont val="Arial"/>
        <color rgb="FFFF0000"/>
      </rPr>
      <t>( Discipline Lv 10, Warrior T3, Rank: Rare)</t>
    </r>
  </si>
  <si>
    <t>Discipline I-R</t>
  </si>
  <si>
    <t>Combat Spirit</t>
  </si>
  <si>
    <t>you can roll disicpline to avoid falling into a DOWN or KO state from non-fatal/non-critical attacks when you are under 25% of your HP, but you will acumulate damage that will unleash after thr combat is over. however if the damage reaches under double your HP you will fall regardless</t>
  </si>
  <si>
    <t>Against The Wall</t>
  </si>
  <si>
    <t>When confronting an enemy in combat with at least 10 levels of difference and yourHP is under 25%, you gain a 1k0 free desperation extra dice to roll a number of times equal to your fate+1 during a single scene, dice gained this way ca</t>
  </si>
  <si>
    <t>With The Will</t>
  </si>
  <si>
    <t>When you fall Down or KO in direct melee combat (not ambushed), you are able to perform one last action, granted that your body is capable of doing so (has limbs, can perceive, etc)</t>
  </si>
  <si>
    <r>
      <rPr>
        <rFont val="Arial"/>
        <b/>
        <color rgb="FF000000"/>
      </rPr>
      <t xml:space="preserve">Heavy Handling </t>
    </r>
    <r>
      <rPr>
        <rFont val="Arial"/>
        <color rgb="FF0000FF"/>
      </rPr>
      <t>( Basic Melee Weapons Lv 10, Warrior T0, Rank: Common)</t>
    </r>
  </si>
  <si>
    <t>Melee Weapons</t>
  </si>
  <si>
    <t>Strength Expression</t>
  </si>
  <si>
    <t>STR-based weapon attacks gain cumulative "pressure" effects up to 5 pts, large weapons effect up to 10</t>
  </si>
  <si>
    <t>Defense Degradation</t>
  </si>
  <si>
    <t>Repeated defensive success against your melee attacks becomes progressively harder, it resets when the enemy attacks instead of defending</t>
  </si>
  <si>
    <t>Heavy Output</t>
  </si>
  <si>
    <t>You may reduce raw damage to increase pressure or control effects instead.</t>
  </si>
  <si>
    <r>
      <rPr>
        <rFont val="Arial"/>
        <b/>
        <color theme="1"/>
      </rPr>
      <t>Charge Force</t>
    </r>
    <r>
      <rPr>
        <rFont val="Arial"/>
        <color rgb="FF0000FF"/>
      </rPr>
      <t xml:space="preserve">  ( Basic Melee Weapons Lv 10, Warrior T0, Rank: Common)</t>
    </r>
  </si>
  <si>
    <t>Enhaced Charge</t>
  </si>
  <si>
    <t>When charging you reduce you AC penalties, and increase your bonus damage by 5 pts</t>
  </si>
  <si>
    <t>Residual Force</t>
  </si>
  <si>
    <t>When a melee attack is defended with a Success or Great Success, a portion of damage is transmited on the first attack</t>
  </si>
  <si>
    <t>Persistant Charge</t>
  </si>
  <si>
    <t>you can ignore charge interruptions once in a single round (saving roll)</t>
  </si>
  <si>
    <r>
      <rPr>
        <rFont val="Arial"/>
        <b/>
        <color rgb="FF000000"/>
      </rPr>
      <t xml:space="preserve">Weapon Finesse </t>
    </r>
    <r>
      <rPr>
        <rFont val="Arial"/>
        <color rgb="FF0000FF"/>
      </rPr>
      <t>( Basic Melee Weapons Lv 10, Warrior T0, Rank: Common)</t>
    </r>
  </si>
  <si>
    <t>Finesse Expression</t>
  </si>
  <si>
    <t>you can add damage using the Agility roll instead of strenght, when using agility based weapons</t>
  </si>
  <si>
    <t>Sharp and Light</t>
  </si>
  <si>
    <t xml:space="preserve">its harder to parry or block your attacks, they are too fast!. </t>
  </si>
  <si>
    <t>Expert (-5CP)</t>
  </si>
  <si>
    <t>Fast Execution</t>
  </si>
  <si>
    <t>you can reduce raw damage to increase initiative bonus on agility based weapons, small weapons receive bonus benefits</t>
  </si>
  <si>
    <r>
      <rPr>
        <rFont val="Arial"/>
        <b/>
        <color theme="1"/>
      </rPr>
      <t>Defensive Handling</t>
    </r>
    <r>
      <rPr>
        <rFont val="Arial"/>
        <color rgb="FF0000FF"/>
      </rPr>
      <t xml:space="preserve">  </t>
    </r>
    <r>
      <rPr>
        <rFont val="Arial"/>
        <color rgb="FFFF0000"/>
      </rPr>
      <t>( Basic Melee Weapons Lv 10, Warrior T3, Rank: Rare)</t>
    </r>
  </si>
  <si>
    <t>Threat Reading</t>
  </si>
  <si>
    <t>You better identify enemies with higher weapon handling</t>
  </si>
  <si>
    <t>Grip Supremacy</t>
  </si>
  <si>
    <t>Line #2 - Level +15</t>
  </si>
  <si>
    <t>Attempts to disarm, bind, or misalign your weapon are treated as one bracket harder.</t>
  </si>
  <si>
    <t>Inertia Carryover</t>
  </si>
  <si>
    <t>Line #3 - Level +30</t>
  </si>
  <si>
    <t>On a successful melee execution, STR-based defensive effects from weapon awakenings are treated as one tier harder to resist</t>
  </si>
  <si>
    <t>Free Upgrade</t>
  </si>
  <si>
    <r>
      <rPr>
        <rFont val="Arial"/>
        <b/>
        <color theme="1"/>
      </rPr>
      <t>Armor Roots</t>
    </r>
    <r>
      <rPr>
        <rFont val="Arial"/>
        <color rgb="FF0000FF"/>
      </rPr>
      <t xml:space="preserve">  ( Basic Armor Lv 10, Warrior T0, Rank: Common)</t>
    </r>
  </si>
  <si>
    <t>Basic Armor</t>
  </si>
  <si>
    <t>Defensive Commitment</t>
  </si>
  <si>
    <t>Once you hold a position, non-critical attacks does not force repositioning (enhaced saving roll)</t>
  </si>
  <si>
    <t>Anchored Position</t>
  </si>
  <si>
    <t xml:space="preserve">Enemies find it harder to displace you while armored.  </t>
  </si>
  <si>
    <t>Zone Denial</t>
  </si>
  <si>
    <t>Opponents must need to invest twice as many actions to bypass your defended space, or become open to opportunity attacks.</t>
  </si>
  <si>
    <t>Apex Knowledge</t>
  </si>
  <si>
    <r>
      <rPr>
        <rFont val="Arial"/>
        <b/>
        <color rgb="FF000000"/>
      </rPr>
      <t>Armor Balance</t>
    </r>
    <r>
      <rPr>
        <rFont val="Arial"/>
        <color rgb="FF0000FF"/>
      </rPr>
      <t xml:space="preserve">  ( Basic Armor Lv 10, Warrior T0, Rank: Common)</t>
    </r>
  </si>
  <si>
    <t>Weight Familiarity</t>
  </si>
  <si>
    <t>Specialization (III)</t>
  </si>
  <si>
    <t>Movement and fatigue penalties from armor are reduced by one step.</t>
  </si>
  <si>
    <t>Coverage Optimization</t>
  </si>
  <si>
    <t>Defensive actions that success grant slightly better damage reduction wen armored</t>
  </si>
  <si>
    <t>Endurance Alignment</t>
  </si>
  <si>
    <t>Extended wear does not escalate discomfort penalties.</t>
  </si>
  <si>
    <t>Stable Frame</t>
  </si>
  <si>
    <t>Forced movement effects against you are harder to apply while armored.</t>
  </si>
  <si>
    <t>Explode 8's</t>
  </si>
  <si>
    <t>5d10</t>
  </si>
  <si>
    <t>MAstery (-5CP)</t>
  </si>
  <si>
    <t>xxxx{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</si>
</sst>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8">
    <font>
      <sz val="10.0"/>
      <color rgb="FF000000"/>
      <name val="Arial"/>
      <scheme val="minor"/>
    </font>
    <font>
      <color theme="1"/>
      <name val="Arial"/>
      <scheme val="minor"/>
    </font>
    <font>
      <b/>
      <color theme="1"/>
      <name val="Arial"/>
      <scheme val="minor"/>
    </font>
    <font>
      <b/>
      <color rgb="FF00B050"/>
      <name val="Arial"/>
      <scheme val="minor"/>
    </font>
    <font>
      <b/>
      <color rgb="FF0000FF"/>
      <name val="Arial"/>
      <scheme val="minor"/>
    </font>
    <font>
      <b/>
      <sz val="22.0"/>
      <color theme="1"/>
      <name val="Calibri"/>
    </font>
    <font>
      <b/>
      <sz val="14.0"/>
      <color theme="1"/>
      <name val="Calibri"/>
    </font>
    <font/>
    <font>
      <b/>
      <color rgb="FFFF0000"/>
      <name val="Arial"/>
      <scheme val="minor"/>
    </font>
    <font>
      <sz val="11.0"/>
      <color theme="1"/>
      <name val="Calibri"/>
    </font>
    <font>
      <b/>
      <sz val="9.0"/>
      <color theme="1"/>
      <name val="Calibri"/>
    </font>
    <font>
      <sz val="9.0"/>
      <color theme="1"/>
      <name val="Calibri"/>
    </font>
    <font>
      <b/>
      <color rgb="FF980000"/>
      <name val="Arial"/>
      <scheme val="minor"/>
    </font>
    <font>
      <sz val="9.0"/>
      <color theme="1"/>
      <name val="Arial"/>
      <scheme val="minor"/>
    </font>
    <font>
      <b/>
      <sz val="11.0"/>
      <color theme="1"/>
      <name val="Calibri"/>
    </font>
    <font>
      <i/>
      <sz val="8.0"/>
      <color theme="1"/>
      <name val="Calibri"/>
    </font>
    <font>
      <sz val="20.0"/>
      <color theme="1"/>
      <name val="Arial"/>
      <scheme val="minor"/>
    </font>
    <font>
      <sz val="9.0"/>
      <color rgb="FF0000FF"/>
      <name val="Arial"/>
      <scheme val="minor"/>
    </font>
    <font>
      <sz val="8.0"/>
      <color theme="1"/>
      <name val="Arial"/>
      <scheme val="minor"/>
    </font>
    <font>
      <b/>
      <sz val="14.0"/>
      <color theme="1"/>
      <name val="Arial"/>
      <scheme val="minor"/>
    </font>
    <font>
      <i/>
      <sz val="9.0"/>
      <color rgb="FF666666"/>
      <name val="Arial"/>
      <scheme val="minor"/>
    </font>
    <font>
      <sz val="15.0"/>
      <color theme="1"/>
      <name val="Arial"/>
      <scheme val="minor"/>
    </font>
    <font>
      <i/>
      <sz val="9.0"/>
      <color rgb="FF980000"/>
      <name val="Arial"/>
      <scheme val="minor"/>
    </font>
    <font>
      <i/>
      <sz val="9.0"/>
      <color theme="1"/>
      <name val="Calibri"/>
    </font>
    <font>
      <sz val="9.0"/>
      <color rgb="FF980000"/>
      <name val="Arial"/>
      <scheme val="minor"/>
    </font>
    <font>
      <color rgb="FF980000"/>
      <name val="Arial"/>
      <scheme val="minor"/>
    </font>
    <font>
      <sz val="10.0"/>
      <color theme="1"/>
      <name val="Arial"/>
      <scheme val="minor"/>
    </font>
    <font>
      <color rgb="FF0000FF"/>
      <name val="Arial"/>
      <scheme val="minor"/>
    </font>
  </fonts>
  <fills count="31">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E7E6E6"/>
        <bgColor rgb="FFE7E6E6"/>
      </patternFill>
    </fill>
    <fill>
      <patternFill patternType="solid">
        <fgColor rgb="FFF9CB9C"/>
        <bgColor rgb="FFF9CB9C"/>
      </patternFill>
    </fill>
    <fill>
      <patternFill patternType="solid">
        <fgColor rgb="FFF4CCCC"/>
        <bgColor rgb="FFF4CCCC"/>
      </patternFill>
    </fill>
    <fill>
      <patternFill patternType="solid">
        <fgColor rgb="FFB7B7B7"/>
        <bgColor rgb="FFB7B7B7"/>
      </patternFill>
    </fill>
    <fill>
      <patternFill patternType="solid">
        <fgColor rgb="FFCCCCCC"/>
        <bgColor rgb="FFCCCCCC"/>
      </patternFill>
    </fill>
    <fill>
      <patternFill patternType="solid">
        <fgColor rgb="FFF2F2F2"/>
        <bgColor rgb="FFF2F2F2"/>
      </patternFill>
    </fill>
    <fill>
      <patternFill patternType="solid">
        <fgColor rgb="FFFEF2CB"/>
        <bgColor rgb="FFFEF2CB"/>
      </patternFill>
    </fill>
    <fill>
      <patternFill patternType="solid">
        <fgColor rgb="FFFBE4D5"/>
        <bgColor rgb="FFFBE4D5"/>
      </patternFill>
    </fill>
    <fill>
      <patternFill patternType="solid">
        <fgColor rgb="FFE2EFD9"/>
        <bgColor rgb="FFE2EFD9"/>
      </patternFill>
    </fill>
    <fill>
      <patternFill patternType="solid">
        <fgColor rgb="FFD8D8D8"/>
        <bgColor rgb="FFD8D8D8"/>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BDD6EE"/>
        <bgColor rgb="FFBDD6EE"/>
      </patternFill>
    </fill>
    <fill>
      <patternFill patternType="solid">
        <fgColor rgb="FFBFBFBF"/>
        <bgColor rgb="FFBFBFBF"/>
      </patternFill>
    </fill>
    <fill>
      <patternFill patternType="solid">
        <fgColor rgb="FFFFD965"/>
        <bgColor rgb="FFFFD965"/>
      </patternFill>
    </fill>
    <fill>
      <patternFill patternType="solid">
        <fgColor rgb="FFF4B083"/>
        <bgColor rgb="FFF4B083"/>
      </patternFill>
    </fill>
    <fill>
      <patternFill patternType="solid">
        <fgColor rgb="FFA8D08D"/>
        <bgColor rgb="FFA8D08D"/>
      </patternFill>
    </fill>
    <fill>
      <patternFill patternType="solid">
        <fgColor rgb="FF9CC2E5"/>
        <bgColor rgb="FF9CC2E5"/>
      </patternFill>
    </fill>
    <fill>
      <patternFill patternType="solid">
        <fgColor rgb="FFFCE5CD"/>
        <bgColor rgb="FFFCE5CD"/>
      </patternFill>
    </fill>
    <fill>
      <patternFill patternType="solid">
        <fgColor rgb="FFEAD1DC"/>
        <bgColor rgb="FFEAD1DC"/>
      </patternFill>
    </fill>
    <fill>
      <patternFill patternType="solid">
        <fgColor rgb="FFEA9999"/>
        <bgColor rgb="FFEA9999"/>
      </patternFill>
    </fill>
    <fill>
      <patternFill patternType="solid">
        <fgColor rgb="FFD5A6BD"/>
        <bgColor rgb="FFD5A6BD"/>
      </patternFill>
    </fill>
  </fills>
  <borders count="35">
    <border/>
    <border>
      <left/>
      <right/>
      <top/>
    </border>
    <border>
      <left/>
      <top/>
      <bottom/>
    </border>
    <border>
      <top/>
      <bottom/>
    </border>
    <border>
      <right/>
      <top/>
      <bottom/>
    </border>
    <border>
      <bottom style="thin">
        <color rgb="FF000000"/>
      </bottom>
    </border>
    <border>
      <left/>
      <right/>
    </border>
    <border>
      <left/>
      <right/>
      <top/>
      <bottom/>
    </border>
    <border>
      <left/>
      <right style="thin">
        <color rgb="FF000000"/>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bottom/>
    </border>
    <border>
      <left/>
      <right style="thin">
        <color rgb="FF000000"/>
      </right>
      <top/>
    </border>
    <border>
      <left style="thin">
        <color rgb="FF000000"/>
      </left>
      <top/>
      <bottom/>
    </border>
    <border>
      <right style="thin">
        <color rgb="FF000000"/>
      </right>
      <top/>
      <bottom/>
    </border>
    <border>
      <left/>
      <right style="thin">
        <color rgb="FF000000"/>
      </right>
    </border>
    <border>
      <left/>
      <right style="thin">
        <color rgb="FF000000"/>
      </right>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top/>
      <bottom/>
    </border>
    <border>
      <left style="thin">
        <color rgb="FF000000"/>
      </left>
      <right style="thin">
        <color rgb="FF000000"/>
      </right>
      <top/>
      <bottom/>
    </border>
    <border>
      <left style="thin">
        <color rgb="FF000000"/>
      </left>
      <right/>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readingOrder="0"/>
    </xf>
    <xf borderId="0" fillId="2" fontId="2" numFmtId="0" xfId="0" applyAlignment="1" applyFill="1" applyFont="1">
      <alignment readingOrder="0"/>
    </xf>
    <xf borderId="0" fillId="0" fontId="1" numFmtId="0" xfId="0" applyAlignment="1" applyFont="1">
      <alignment horizontal="center" readingOrder="0"/>
    </xf>
    <xf borderId="0" fillId="3" fontId="3" numFmtId="0" xfId="0" applyAlignment="1" applyFill="1" applyFont="1">
      <alignment readingOrder="0"/>
    </xf>
    <xf borderId="0" fillId="0" fontId="2" numFmtId="0" xfId="0" applyAlignment="1" applyFont="1">
      <alignment readingOrder="0"/>
    </xf>
    <xf borderId="0" fillId="0" fontId="1" numFmtId="0" xfId="0" applyFont="1"/>
    <xf borderId="0" fillId="4" fontId="1" numFmtId="0" xfId="0" applyAlignment="1" applyFill="1" applyFont="1">
      <alignment readingOrder="0"/>
    </xf>
    <xf borderId="0" fillId="4" fontId="1" numFmtId="0" xfId="0" applyFill="1" applyFont="1"/>
    <xf borderId="0" fillId="0" fontId="2" numFmtId="0" xfId="0" applyAlignment="1" applyFont="1">
      <alignment horizontal="center" readingOrder="0"/>
    </xf>
    <xf borderId="0" fillId="4" fontId="1" numFmtId="0" xfId="0" applyAlignment="1" applyFill="1" applyFont="1">
      <alignment horizontal="center"/>
    </xf>
    <xf borderId="0" fillId="4" fontId="1" numFmtId="0" xfId="0" applyAlignment="1" applyFill="1" applyFont="1">
      <alignment horizontal="center" readingOrder="0"/>
    </xf>
    <xf borderId="0" fillId="5" fontId="4" numFmtId="0" xfId="0" applyAlignment="1" applyFill="1" applyFont="1">
      <alignment readingOrder="0"/>
    </xf>
    <xf borderId="1" fillId="6" fontId="5" numFmtId="0" xfId="0" applyAlignment="1" applyBorder="1" applyFill="1" applyFont="1">
      <alignment horizontal="center" shrinkToFit="0" wrapText="1"/>
    </xf>
    <xf borderId="0" fillId="4" fontId="2" numFmtId="0" xfId="0" applyAlignment="1" applyFill="1" applyFont="1">
      <alignment readingOrder="0"/>
    </xf>
    <xf borderId="0" fillId="7" fontId="2" numFmtId="0" xfId="0" applyAlignment="1" applyFill="1" applyFont="1">
      <alignment readingOrder="0"/>
    </xf>
    <xf borderId="2" fillId="8" fontId="6" numFmtId="0" xfId="0" applyAlignment="1" applyBorder="1" applyFill="1" applyFont="1">
      <alignment horizontal="center" vertical="bottom"/>
    </xf>
    <xf borderId="0" fillId="7" fontId="1" numFmtId="0" xfId="0" applyFill="1" applyFont="1"/>
    <xf borderId="3" fillId="0" fontId="7" numFmtId="0" xfId="0" applyBorder="1" applyFont="1"/>
    <xf borderId="0" fillId="9" fontId="2" numFmtId="0" xfId="0" applyAlignment="1" applyFill="1" applyFont="1">
      <alignment readingOrder="0"/>
    </xf>
    <xf borderId="0" fillId="9" fontId="1" numFmtId="0" xfId="0" applyFill="1" applyFont="1"/>
    <xf borderId="4" fillId="0" fontId="7" numFmtId="0" xfId="0" applyBorder="1" applyFont="1"/>
    <xf borderId="0" fillId="10" fontId="8" numFmtId="0" xfId="0" applyAlignment="1" applyFill="1" applyFont="1">
      <alignment readingOrder="0"/>
    </xf>
    <xf borderId="5" fillId="0" fontId="2" numFmtId="0" xfId="0" applyAlignment="1" applyBorder="1" applyFont="1">
      <alignment readingOrder="0"/>
    </xf>
    <xf borderId="6" fillId="0" fontId="7" numFmtId="0" xfId="0" applyBorder="1" applyFont="1"/>
    <xf borderId="7" fillId="8" fontId="9" numFmtId="0" xfId="0" applyAlignment="1" applyBorder="1" applyFill="1" applyFont="1">
      <alignment vertical="bottom"/>
    </xf>
    <xf borderId="7" fillId="8" fontId="10" numFmtId="0" xfId="0" applyAlignment="1" applyBorder="1" applyFill="1" applyFont="1">
      <alignment horizontal="center"/>
    </xf>
    <xf borderId="8" fillId="8" fontId="9" numFmtId="0" xfId="0" applyAlignment="1" applyBorder="1" applyFill="1" applyFont="1">
      <alignment vertical="bottom"/>
    </xf>
    <xf borderId="0" fillId="0" fontId="2" numFmtId="0" xfId="0" applyFont="1"/>
    <xf borderId="9" fillId="0" fontId="2" numFmtId="0" xfId="0" applyAlignment="1" applyBorder="1" applyFont="1">
      <alignment readingOrder="0"/>
    </xf>
    <xf borderId="10" fillId="0" fontId="1" numFmtId="0" xfId="0" applyAlignment="1" applyBorder="1" applyFont="1">
      <alignment horizontal="center" readingOrder="0"/>
    </xf>
    <xf borderId="11" fillId="0" fontId="7" numFmtId="0" xfId="0" applyBorder="1" applyFont="1"/>
    <xf borderId="0" fillId="11" fontId="1" numFmtId="0" xfId="0" applyAlignment="1" applyFill="1" applyFont="1">
      <alignment readingOrder="0"/>
    </xf>
    <xf borderId="12" fillId="12" fontId="1" numFmtId="0" xfId="0" applyAlignment="1" applyBorder="1" applyFill="1" applyFont="1">
      <alignment readingOrder="0" shrinkToFit="0" vertical="top" wrapText="1"/>
    </xf>
    <xf borderId="12" fillId="12" fontId="1" numFmtId="0" xfId="0" applyAlignment="1" applyBorder="1" applyFill="1" applyFont="1">
      <alignment readingOrder="0"/>
    </xf>
    <xf borderId="12" fillId="12" fontId="1" numFmtId="0" xfId="0" applyAlignment="1" applyBorder="1" applyFill="1" applyFont="1">
      <alignment readingOrder="0" shrinkToFit="0" wrapText="1"/>
    </xf>
    <xf borderId="7" fillId="8" fontId="11" numFmtId="0" xfId="0" applyBorder="1" applyFill="1" applyFont="1"/>
    <xf borderId="13" fillId="0" fontId="12" numFmtId="0" xfId="0" applyAlignment="1" applyBorder="1" applyFont="1">
      <alignment horizontal="center" readingOrder="0"/>
    </xf>
    <xf borderId="5" fillId="0" fontId="13" numFmtId="0" xfId="0" applyAlignment="1" applyBorder="1" applyFont="1">
      <alignment horizontal="center"/>
    </xf>
    <xf borderId="14" fillId="0" fontId="7" numFmtId="0" xfId="0" applyBorder="1" applyFont="1"/>
    <xf borderId="15" fillId="0" fontId="7" numFmtId="0" xfId="0" applyBorder="1" applyFont="1"/>
    <xf borderId="16" fillId="0" fontId="7" numFmtId="0" xfId="0" applyBorder="1" applyFont="1"/>
    <xf borderId="12" fillId="0" fontId="1" numFmtId="0" xfId="0" applyAlignment="1" applyBorder="1" applyFont="1">
      <alignment readingOrder="0"/>
    </xf>
    <xf borderId="11" fillId="0" fontId="1" numFmtId="0" xfId="0" applyAlignment="1" applyBorder="1" applyFont="1">
      <alignment horizontal="center" readingOrder="0"/>
    </xf>
    <xf borderId="12" fillId="0" fontId="1" numFmtId="0" xfId="0" applyAlignment="1" applyBorder="1" applyFont="1">
      <alignment readingOrder="0" shrinkToFit="0" wrapText="1"/>
    </xf>
    <xf borderId="12" fillId="0" fontId="1" numFmtId="0" xfId="0" applyAlignment="1" applyBorder="1" applyFont="1">
      <alignment horizontal="center" readingOrder="0" shrinkToFit="0" wrapText="1"/>
    </xf>
    <xf borderId="0" fillId="0" fontId="13" numFmtId="0" xfId="0" applyAlignment="1" applyFont="1">
      <alignment horizontal="center"/>
    </xf>
    <xf borderId="17" fillId="13" fontId="5" numFmtId="0" xfId="0" applyAlignment="1" applyBorder="1" applyFill="1" applyFont="1">
      <alignment horizontal="center" shrinkToFit="0" wrapText="1"/>
    </xf>
    <xf borderId="18" fillId="14" fontId="14" numFmtId="0" xfId="0" applyAlignment="1" applyBorder="1" applyFill="1" applyFont="1">
      <alignment horizontal="center" vertical="bottom"/>
    </xf>
    <xf borderId="19" fillId="0" fontId="7" numFmtId="0" xfId="0" applyBorder="1" applyFont="1"/>
    <xf borderId="18" fillId="15" fontId="14" numFmtId="0" xfId="0" applyAlignment="1" applyBorder="1" applyFill="1" applyFont="1">
      <alignment horizontal="center" vertical="bottom"/>
    </xf>
    <xf borderId="18" fillId="16" fontId="14" numFmtId="0" xfId="0" applyAlignment="1" applyBorder="1" applyFill="1" applyFont="1">
      <alignment horizontal="center" vertical="bottom"/>
    </xf>
    <xf borderId="14" fillId="0" fontId="13" numFmtId="0" xfId="0" applyAlignment="1" applyBorder="1" applyFont="1">
      <alignment horizontal="center"/>
    </xf>
    <xf borderId="20" fillId="0" fontId="7" numFmtId="0" xfId="0" applyBorder="1" applyFont="1"/>
    <xf borderId="18" fillId="14" fontId="10" numFmtId="0" xfId="0" applyAlignment="1" applyBorder="1" applyFill="1" applyFont="1">
      <alignment horizontal="center" vertical="bottom"/>
    </xf>
    <xf borderId="18" fillId="15" fontId="10" numFmtId="0" xfId="0" applyAlignment="1" applyBorder="1" applyFill="1" applyFont="1">
      <alignment horizontal="center" vertical="bottom"/>
    </xf>
    <xf borderId="18" fillId="16" fontId="10" numFmtId="0" xfId="0" applyAlignment="1" applyBorder="1" applyFill="1" applyFont="1">
      <alignment horizontal="center" vertical="bottom"/>
    </xf>
    <xf borderId="18" fillId="14" fontId="15" numFmtId="0" xfId="0" applyAlignment="1" applyBorder="1" applyFill="1" applyFont="1">
      <alignment horizontal="center" vertical="bottom"/>
    </xf>
    <xf borderId="18" fillId="15" fontId="15" numFmtId="0" xfId="0" applyAlignment="1" applyBorder="1" applyFill="1" applyFont="1">
      <alignment horizontal="center" vertical="bottom"/>
    </xf>
    <xf borderId="18" fillId="16" fontId="15" numFmtId="0" xfId="0" applyAlignment="1" applyBorder="1" applyFill="1" applyFont="1">
      <alignment vertical="bottom"/>
    </xf>
    <xf borderId="0" fillId="0" fontId="1" numFmtId="0" xfId="0" applyAlignment="1" applyFont="1">
      <alignment horizontal="left" readingOrder="0"/>
    </xf>
    <xf borderId="21" fillId="0" fontId="7" numFmtId="0" xfId="0" applyBorder="1" applyFont="1"/>
    <xf borderId="0" fillId="5" fontId="2" numFmtId="0" xfId="0" applyAlignment="1" applyFill="1" applyFont="1">
      <alignment horizontal="left" readingOrder="0"/>
    </xf>
    <xf borderId="18" fillId="14" fontId="11" numFmtId="0" xfId="0" applyAlignment="1" applyBorder="1" applyFill="1" applyFont="1">
      <alignment vertical="bottom"/>
    </xf>
    <xf borderId="18" fillId="15" fontId="11" numFmtId="0" xfId="0" applyAlignment="1" applyBorder="1" applyFill="1" applyFont="1">
      <alignment vertical="bottom"/>
    </xf>
    <xf borderId="18" fillId="16" fontId="11" numFmtId="0" xfId="0" applyAlignment="1" applyBorder="1" applyFill="1" applyFont="1">
      <alignment vertical="bottom"/>
    </xf>
    <xf borderId="17" fillId="17" fontId="5" numFmtId="0" xfId="0" applyAlignment="1" applyBorder="1" applyFill="1" applyFont="1">
      <alignment horizontal="center" shrinkToFit="0" wrapText="1"/>
    </xf>
    <xf borderId="22" fillId="18" fontId="14" numFmtId="0" xfId="0" applyAlignment="1" applyBorder="1" applyFill="1" applyFont="1">
      <alignment horizontal="center"/>
    </xf>
    <xf borderId="23" fillId="18" fontId="14" numFmtId="0" xfId="0" applyAlignment="1" applyBorder="1" applyFill="1" applyFont="1">
      <alignment horizontal="center"/>
    </xf>
    <xf borderId="23" fillId="19" fontId="14" numFmtId="0" xfId="0" applyAlignment="1" applyBorder="1" applyFill="1" applyFont="1">
      <alignment horizontal="center"/>
    </xf>
    <xf borderId="23" fillId="20" fontId="14" numFmtId="0" xfId="0" applyAlignment="1" applyBorder="1" applyFill="1" applyFont="1">
      <alignment horizontal="center"/>
    </xf>
    <xf borderId="23" fillId="21" fontId="14" numFmtId="0" xfId="0" applyAlignment="1" applyBorder="1" applyFill="1" applyFont="1">
      <alignment horizontal="center"/>
    </xf>
    <xf borderId="24" fillId="18" fontId="10" numFmtId="0" xfId="0" applyAlignment="1" applyBorder="1" applyFill="1" applyFont="1">
      <alignment horizontal="center"/>
    </xf>
    <xf borderId="25" fillId="19" fontId="10" numFmtId="0" xfId="0" applyAlignment="1" applyBorder="1" applyFill="1" applyFont="1">
      <alignment horizontal="center"/>
    </xf>
    <xf borderId="25" fillId="20" fontId="10" numFmtId="0" xfId="0" applyAlignment="1" applyBorder="1" applyFill="1" applyFont="1">
      <alignment horizontal="center"/>
    </xf>
    <xf borderId="25" fillId="21" fontId="10" numFmtId="0" xfId="0" applyAlignment="1" applyBorder="1" applyFill="1" applyFont="1">
      <alignment horizontal="center"/>
    </xf>
    <xf borderId="0" fillId="0" fontId="1" numFmtId="164" xfId="0" applyAlignment="1" applyFont="1" applyNumberFormat="1">
      <alignment readingOrder="0"/>
    </xf>
    <xf borderId="12" fillId="0" fontId="1" numFmtId="0" xfId="0" applyAlignment="1" applyBorder="1" applyFont="1">
      <alignment readingOrder="0" shrinkToFit="0" vertical="top" wrapText="1"/>
    </xf>
    <xf borderId="26" fillId="18" fontId="11" numFmtId="0" xfId="0" applyBorder="1" applyFill="1" applyFont="1"/>
    <xf borderId="25" fillId="18" fontId="11" numFmtId="0" xfId="0" applyAlignment="1" applyBorder="1" applyFill="1" applyFont="1">
      <alignment horizontal="center"/>
    </xf>
    <xf borderId="26" fillId="19" fontId="11" numFmtId="0" xfId="0" applyBorder="1" applyFill="1" applyFont="1"/>
    <xf borderId="25" fillId="19" fontId="11" numFmtId="0" xfId="0" applyAlignment="1" applyBorder="1" applyFill="1" applyFont="1">
      <alignment horizontal="center"/>
    </xf>
    <xf borderId="25" fillId="20" fontId="11" numFmtId="0" xfId="0" applyAlignment="1" applyBorder="1" applyFill="1" applyFont="1">
      <alignment horizontal="center"/>
    </xf>
    <xf borderId="26" fillId="20" fontId="11" numFmtId="0" xfId="0" applyBorder="1" applyFill="1" applyFont="1"/>
    <xf borderId="25" fillId="21" fontId="11" numFmtId="0" xfId="0" applyAlignment="1" applyBorder="1" applyFill="1" applyFont="1">
      <alignment horizontal="center"/>
    </xf>
    <xf borderId="27" fillId="19" fontId="14" numFmtId="0" xfId="0" applyAlignment="1" applyBorder="1" applyFill="1" applyFont="1">
      <alignment horizontal="center"/>
    </xf>
    <xf borderId="22" fillId="19" fontId="14" numFmtId="0" xfId="0" applyAlignment="1" applyBorder="1" applyFill="1" applyFont="1">
      <alignment horizontal="center"/>
    </xf>
    <xf borderId="27" fillId="21" fontId="14" numFmtId="0" xfId="0" applyAlignment="1" applyBorder="1" applyFill="1" applyFont="1">
      <alignment horizontal="center"/>
    </xf>
    <xf borderId="25" fillId="18" fontId="11" numFmtId="0" xfId="0" applyBorder="1" applyFill="1" applyFont="1"/>
    <xf borderId="8" fillId="19" fontId="11" numFmtId="0" xfId="0" applyAlignment="1" applyBorder="1" applyFill="1" applyFont="1">
      <alignment horizontal="center"/>
    </xf>
    <xf borderId="24" fillId="19" fontId="11" numFmtId="0" xfId="0" applyBorder="1" applyFill="1" applyFont="1"/>
    <xf borderId="25" fillId="20" fontId="11" numFmtId="0" xfId="0" applyBorder="1" applyFill="1" applyFont="1"/>
    <xf borderId="8" fillId="21" fontId="11" numFmtId="0" xfId="0" applyAlignment="1" applyBorder="1" applyFill="1" applyFont="1">
      <alignment horizontal="center"/>
    </xf>
    <xf borderId="28" fillId="0" fontId="2" numFmtId="0" xfId="0" applyAlignment="1" applyBorder="1" applyFont="1">
      <alignment horizontal="center" readingOrder="0"/>
    </xf>
    <xf borderId="28" fillId="0" fontId="1" numFmtId="0" xfId="0" applyAlignment="1" applyBorder="1" applyFont="1">
      <alignment readingOrder="0"/>
    </xf>
    <xf borderId="29" fillId="0" fontId="1" numFmtId="0" xfId="0" applyAlignment="1" applyBorder="1" applyFont="1">
      <alignment readingOrder="0"/>
    </xf>
    <xf borderId="30" fillId="0" fontId="7" numFmtId="0" xfId="0" applyBorder="1" applyFont="1"/>
    <xf borderId="17" fillId="22" fontId="5" numFmtId="0" xfId="0" applyAlignment="1" applyBorder="1" applyFill="1" applyFont="1">
      <alignment horizontal="center" shrinkToFit="0" wrapText="1"/>
    </xf>
    <xf borderId="23" fillId="23" fontId="14" numFmtId="0" xfId="0" applyAlignment="1" applyBorder="1" applyFill="1" applyFont="1">
      <alignment horizontal="center"/>
    </xf>
    <xf borderId="27" fillId="23" fontId="14" numFmtId="0" xfId="0" applyAlignment="1" applyBorder="1" applyFill="1" applyFont="1">
      <alignment horizontal="center"/>
    </xf>
    <xf borderId="31" fillId="24" fontId="14" numFmtId="0" xfId="0" applyAlignment="1" applyBorder="1" applyFill="1" applyFont="1">
      <alignment horizontal="center"/>
    </xf>
    <xf borderId="23" fillId="25" fontId="14" numFmtId="0" xfId="0" applyAlignment="1" applyBorder="1" applyFill="1" applyFont="1">
      <alignment horizontal="center"/>
    </xf>
    <xf borderId="27" fillId="25" fontId="14" numFmtId="0" xfId="0" applyAlignment="1" applyBorder="1" applyFill="1" applyFont="1">
      <alignment horizontal="center"/>
    </xf>
    <xf borderId="27" fillId="26" fontId="14" numFmtId="0" xfId="0" applyAlignment="1" applyBorder="1" applyFill="1" applyFont="1">
      <alignment horizontal="center"/>
    </xf>
    <xf borderId="25" fillId="23" fontId="10" numFmtId="0" xfId="0" applyAlignment="1" applyBorder="1" applyFill="1" applyFont="1">
      <alignment horizontal="center" vertical="bottom"/>
    </xf>
    <xf borderId="25" fillId="24" fontId="10" numFmtId="0" xfId="0" applyAlignment="1" applyBorder="1" applyFill="1" applyFont="1">
      <alignment horizontal="center" vertical="bottom"/>
    </xf>
    <xf borderId="25" fillId="25" fontId="10" numFmtId="0" xfId="0" applyAlignment="1" applyBorder="1" applyFill="1" applyFont="1">
      <alignment horizontal="center" vertical="bottom"/>
    </xf>
    <xf borderId="25" fillId="26" fontId="10" numFmtId="0" xfId="0" applyAlignment="1" applyBorder="1" applyFill="1" applyFont="1">
      <alignment horizontal="center" vertical="bottom"/>
    </xf>
    <xf borderId="22" fillId="24" fontId="14" numFmtId="0" xfId="0" applyAlignment="1" applyBorder="1" applyFill="1" applyFont="1">
      <alignment horizontal="center"/>
    </xf>
    <xf borderId="0" fillId="0" fontId="16" numFmtId="0" xfId="0" applyAlignment="1" applyFont="1">
      <alignment horizontal="center" readingOrder="0" textRotation="90" vertical="center"/>
    </xf>
    <xf borderId="0" fillId="0" fontId="17" numFmtId="0" xfId="0" applyAlignment="1" applyFont="1">
      <alignment readingOrder="0"/>
    </xf>
    <xf borderId="0" fillId="0" fontId="1" numFmtId="0" xfId="0" applyAlignment="1" applyFont="1">
      <alignment horizontal="right" readingOrder="0"/>
    </xf>
    <xf borderId="12" fillId="0" fontId="2" numFmtId="0" xfId="0" applyAlignment="1" applyBorder="1" applyFont="1">
      <alignment horizontal="center" readingOrder="0"/>
    </xf>
    <xf borderId="9" fillId="0" fontId="1" numFmtId="0" xfId="0" applyAlignment="1" applyBorder="1" applyFont="1">
      <alignment readingOrder="0"/>
    </xf>
    <xf borderId="11" fillId="0" fontId="1" numFmtId="0" xfId="0" applyBorder="1" applyFont="1"/>
    <xf borderId="0" fillId="0" fontId="18" numFmtId="0" xfId="0" applyAlignment="1" applyFont="1">
      <alignment readingOrder="0"/>
    </xf>
    <xf borderId="32" fillId="0" fontId="1" numFmtId="0" xfId="0" applyBorder="1" applyFont="1"/>
    <xf borderId="33" fillId="0" fontId="1" numFmtId="0" xfId="0" applyAlignment="1" applyBorder="1" applyFont="1">
      <alignment readingOrder="0"/>
    </xf>
    <xf borderId="34" fillId="0" fontId="1" numFmtId="0" xfId="0" applyBorder="1" applyFont="1"/>
    <xf borderId="15" fillId="0" fontId="1" numFmtId="0" xfId="0" applyBorder="1" applyFont="1"/>
    <xf borderId="13" fillId="0" fontId="1" numFmtId="0" xfId="0" applyAlignment="1" applyBorder="1" applyFont="1">
      <alignment readingOrder="0"/>
    </xf>
    <xf borderId="14" fillId="0" fontId="1" numFmtId="0" xfId="0" applyBorder="1" applyFont="1"/>
    <xf borderId="0" fillId="0" fontId="19" numFmtId="0" xfId="0" applyAlignment="1" applyFont="1">
      <alignment horizontal="center" readingOrder="0" vertical="center"/>
    </xf>
    <xf borderId="0" fillId="27" fontId="1" numFmtId="0" xfId="0" applyAlignment="1" applyFill="1" applyFont="1">
      <alignment readingOrder="0"/>
    </xf>
    <xf borderId="0" fillId="27" fontId="1" numFmtId="0" xfId="0" applyFill="1" applyFont="1"/>
    <xf borderId="0" fillId="0" fontId="20" numFmtId="0" xfId="0" applyAlignment="1" applyFont="1">
      <alignment readingOrder="0"/>
    </xf>
    <xf borderId="0" fillId="0" fontId="9" numFmtId="0" xfId="0" applyAlignment="1" applyFont="1">
      <alignment vertical="bottom"/>
    </xf>
    <xf borderId="0" fillId="27" fontId="21" numFmtId="0" xfId="0" applyAlignment="1" applyFill="1" applyFont="1">
      <alignment horizontal="right" readingOrder="0" textRotation="90" vertical="center"/>
    </xf>
    <xf borderId="0" fillId="0" fontId="9" numFmtId="0" xfId="0" applyAlignment="1" applyFont="1">
      <alignment readingOrder="0" shrinkToFit="0" vertical="bottom" wrapText="1"/>
    </xf>
    <xf borderId="0" fillId="0" fontId="22" numFmtId="0" xfId="0" applyAlignment="1" applyFont="1">
      <alignment readingOrder="0"/>
    </xf>
    <xf borderId="0" fillId="3" fontId="2" numFmtId="0" xfId="0" applyAlignment="1" applyFill="1" applyFont="1">
      <alignment horizontal="left" readingOrder="0"/>
    </xf>
    <xf borderId="0" fillId="0" fontId="23" numFmtId="0" xfId="0" applyAlignment="1" applyFont="1">
      <alignment readingOrder="0" vertical="bottom"/>
    </xf>
    <xf borderId="0" fillId="0" fontId="9" numFmtId="0" xfId="0" applyFont="1"/>
    <xf borderId="0" fillId="0" fontId="9" numFmtId="0" xfId="0" applyAlignment="1" applyFont="1">
      <alignment readingOrder="0" shrinkToFit="0" vertical="bottom" wrapText="0"/>
    </xf>
    <xf borderId="0" fillId="3" fontId="1" numFmtId="0" xfId="0" applyAlignment="1" applyFill="1" applyFont="1">
      <alignment readingOrder="0"/>
    </xf>
    <xf borderId="0" fillId="3" fontId="1" numFmtId="0" xfId="0" applyFill="1" applyFont="1"/>
    <xf borderId="0" fillId="0" fontId="9" numFmtId="0" xfId="0" applyAlignment="1" applyFont="1">
      <alignment readingOrder="0" vertical="bottom"/>
    </xf>
    <xf borderId="0" fillId="5" fontId="1" numFmtId="0" xfId="0" applyAlignment="1" applyFill="1" applyFont="1">
      <alignment readingOrder="0"/>
    </xf>
    <xf borderId="0" fillId="5" fontId="1" numFmtId="0" xfId="0" applyFill="1" applyFont="1"/>
    <xf borderId="0" fillId="0" fontId="24" numFmtId="0" xfId="0" applyAlignment="1" applyFont="1">
      <alignment readingOrder="0"/>
    </xf>
    <xf borderId="5" fillId="0" fontId="23" numFmtId="0" xfId="0" applyAlignment="1" applyBorder="1" applyFont="1">
      <alignment readingOrder="0" vertical="bottom"/>
    </xf>
    <xf borderId="5" fillId="0" fontId="9" numFmtId="0" xfId="0" applyBorder="1" applyFont="1"/>
    <xf borderId="0" fillId="0" fontId="25" numFmtId="0" xfId="0" applyFont="1"/>
    <xf borderId="0" fillId="28" fontId="21" numFmtId="0" xfId="0" applyAlignment="1" applyFill="1" applyFont="1">
      <alignment horizontal="right" readingOrder="0" textRotation="90" vertical="center"/>
    </xf>
    <xf borderId="0" fillId="29" fontId="1" numFmtId="0" xfId="0" applyAlignment="1" applyFill="1" applyFont="1">
      <alignment readingOrder="0"/>
    </xf>
    <xf borderId="0" fillId="29" fontId="1" numFmtId="0" xfId="0" applyFill="1" applyFont="1"/>
    <xf borderId="0" fillId="0" fontId="9" numFmtId="0" xfId="0" applyAlignment="1" applyFont="1">
      <alignment readingOrder="0"/>
    </xf>
    <xf borderId="0" fillId="0" fontId="15" numFmtId="0" xfId="0" applyAlignment="1" applyFont="1">
      <alignment readingOrder="0" vertical="bottom"/>
    </xf>
    <xf borderId="0" fillId="30" fontId="1" numFmtId="0" xfId="0" applyAlignment="1" applyFill="1" applyFont="1">
      <alignment readingOrder="0"/>
    </xf>
    <xf borderId="0" fillId="30" fontId="1" numFmtId="0" xfId="0" applyFill="1" applyFont="1"/>
    <xf borderId="5" fillId="0" fontId="9" numFmtId="0" xfId="0" applyAlignment="1" applyBorder="1" applyFont="1">
      <alignment vertical="bottom"/>
    </xf>
    <xf borderId="0" fillId="3" fontId="21" numFmtId="0" xfId="0" applyAlignment="1" applyFill="1" applyFont="1">
      <alignment horizontal="right" readingOrder="0" textRotation="90" vertical="center"/>
    </xf>
    <xf borderId="0" fillId="4" fontId="21" numFmtId="0" xfId="0" applyAlignment="1" applyFill="1" applyFont="1">
      <alignment horizontal="right" readingOrder="0" textRotation="90" vertical="center"/>
    </xf>
    <xf borderId="0" fillId="5" fontId="21" numFmtId="0" xfId="0" applyAlignment="1" applyFill="1" applyFont="1">
      <alignment horizontal="right" readingOrder="0" textRotation="90" vertical="center"/>
    </xf>
    <xf borderId="0" fillId="0" fontId="9" numFmtId="0" xfId="0" applyAlignment="1" applyFont="1">
      <alignment readingOrder="0" shrinkToFit="0" wrapText="1"/>
    </xf>
    <xf borderId="0" fillId="0" fontId="0" numFmtId="0" xfId="0" applyAlignment="1" applyFont="1">
      <alignment readingOrder="0"/>
    </xf>
    <xf borderId="0" fillId="0" fontId="26" numFmtId="0" xfId="0" applyAlignment="1" applyFont="1">
      <alignment readingOrder="0"/>
    </xf>
    <xf borderId="0" fillId="0" fontId="16" numFmtId="0" xfId="0" applyAlignment="1" applyFont="1">
      <alignment horizontal="center" readingOrder="0" shrinkToFit="0" textRotation="90" vertical="center" wrapText="1"/>
    </xf>
    <xf borderId="0" fillId="0" fontId="27" numFmtId="0" xfId="0" applyAlignment="1" applyFont="1">
      <alignment readingOrder="0"/>
    </xf>
    <xf borderId="0" fillId="28" fontId="2" numFmtId="0" xfId="0" applyAlignment="1" applyFill="1" applyFont="1">
      <alignment horizontal="left" readingOrder="0"/>
    </xf>
  </cellXfs>
  <cellStyles count="1">
    <cellStyle xfId="0" name="Normal" builtinId="0"/>
  </cellStyles>
  <dxfs count="3">
    <dxf>
      <font>
        <b/>
        <color rgb="FF7F6000"/>
      </font>
      <fill>
        <patternFill patternType="solid">
          <fgColor rgb="FFEFEFEF"/>
          <bgColor rgb="FFEFEFEF"/>
        </patternFill>
      </fill>
      <border/>
    </dxf>
    <dxf>
      <font>
        <b/>
        <color rgb="FF1C4587"/>
      </font>
      <fill>
        <patternFill patternType="solid">
          <fgColor rgb="FFD0E0E3"/>
          <bgColor rgb="FFD0E0E3"/>
        </patternFill>
      </fill>
      <border/>
    </dxf>
    <dxf>
      <font>
        <b/>
        <color rgb="FF980000"/>
      </font>
      <fill>
        <patternFill patternType="solid">
          <fgColor rgb="FFEAD1DC"/>
          <bgColor rgb="FFEAD1D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3"/>
    <col customWidth="1" min="3" max="3" width="14.63"/>
    <col customWidth="1" min="4" max="4" width="7.25"/>
    <col customWidth="1" min="5" max="5" width="6.25"/>
    <col customWidth="1" min="6" max="6" width="5.38"/>
    <col customWidth="1" min="7" max="8" width="6.88"/>
    <col customWidth="1" min="9" max="12" width="7.75"/>
  </cols>
  <sheetData>
    <row r="1">
      <c r="B1" s="1"/>
    </row>
    <row r="2">
      <c r="B2" s="1"/>
    </row>
    <row r="3">
      <c r="B3" s="1"/>
    </row>
    <row r="4">
      <c r="B4" s="1"/>
      <c r="C4" s="2" t="s">
        <v>9</v>
      </c>
    </row>
    <row r="5">
      <c r="B5" s="4" t="s">
        <v>12</v>
      </c>
      <c r="D5" s="2" t="s">
        <v>14</v>
      </c>
      <c r="E5" s="2" t="s">
        <v>15</v>
      </c>
      <c r="F5" s="2" t="s">
        <v>16</v>
      </c>
      <c r="G5" s="2" t="s">
        <v>17</v>
      </c>
      <c r="H5" s="2" t="s">
        <v>1</v>
      </c>
      <c r="I5" s="2" t="s">
        <v>19</v>
      </c>
      <c r="J5" s="2" t="s">
        <v>20</v>
      </c>
      <c r="K5" s="2" t="s">
        <v>22</v>
      </c>
      <c r="L5" s="2" t="s">
        <v>23</v>
      </c>
      <c r="M5" s="2" t="s">
        <v>24</v>
      </c>
      <c r="N5" s="2" t="s">
        <v>26</v>
      </c>
      <c r="O5" s="2" t="s">
        <v>28</v>
      </c>
      <c r="P5" s="2" t="s">
        <v>30</v>
      </c>
    </row>
    <row r="6">
      <c r="B6" s="8" t="s">
        <v>32</v>
      </c>
      <c r="C6" s="9"/>
      <c r="D6" s="8">
        <v>20.0</v>
      </c>
      <c r="E6" s="8" t="s">
        <v>37</v>
      </c>
      <c r="F6" s="8" t="s">
        <v>37</v>
      </c>
      <c r="G6" s="8" t="s">
        <v>37</v>
      </c>
      <c r="H6" s="11"/>
      <c r="I6" s="12">
        <v>0.0</v>
      </c>
      <c r="J6" s="12">
        <v>0.0</v>
      </c>
      <c r="K6" s="12">
        <v>0.0</v>
      </c>
      <c r="L6" s="12">
        <v>0.0</v>
      </c>
      <c r="M6" s="2">
        <v>0.0</v>
      </c>
      <c r="N6" s="7">
        <f t="shared" ref="N6:N7" si="1">M6</f>
        <v>0</v>
      </c>
      <c r="O6" s="2">
        <v>0.0</v>
      </c>
      <c r="P6" s="2">
        <v>0.0</v>
      </c>
    </row>
    <row r="7">
      <c r="B7" s="4">
        <v>1.0</v>
      </c>
      <c r="C7" s="2" t="s">
        <v>45</v>
      </c>
      <c r="D7" s="2">
        <v>15.0</v>
      </c>
      <c r="E7" s="2">
        <v>40.0</v>
      </c>
      <c r="F7" s="2" t="s">
        <v>37</v>
      </c>
      <c r="G7" s="2" t="s">
        <v>37</v>
      </c>
      <c r="H7" s="1" t="str">
        <f t="shared" ref="H7:H16" si="3">CONCATENATE("+",B7+5)</f>
        <v>+6</v>
      </c>
      <c r="I7" s="4">
        <v>0.0</v>
      </c>
      <c r="J7" s="1">
        <f t="shared" ref="J7:J16" si="4">I7+J6</f>
        <v>0</v>
      </c>
      <c r="K7" s="4">
        <v>0.0</v>
      </c>
      <c r="L7" s="1">
        <f t="shared" ref="L7:L16" si="5">K7+L6</f>
        <v>0</v>
      </c>
      <c r="M7" s="2">
        <v>0.0</v>
      </c>
      <c r="N7" s="7">
        <f t="shared" si="1"/>
        <v>0</v>
      </c>
      <c r="O7" s="2">
        <v>0.0</v>
      </c>
      <c r="P7" s="2">
        <v>0.0</v>
      </c>
    </row>
    <row r="8">
      <c r="B8" s="4">
        <v>2.0</v>
      </c>
      <c r="D8" s="7">
        <f t="shared" ref="D8:E8" si="2">D7-1</f>
        <v>14</v>
      </c>
      <c r="E8" s="7">
        <f t="shared" si="2"/>
        <v>39</v>
      </c>
      <c r="F8" s="2" t="s">
        <v>37</v>
      </c>
      <c r="G8" s="2" t="s">
        <v>37</v>
      </c>
      <c r="H8" s="1" t="str">
        <f t="shared" si="3"/>
        <v>+7</v>
      </c>
      <c r="I8" s="4">
        <v>5.0</v>
      </c>
      <c r="J8" s="1">
        <f t="shared" si="4"/>
        <v>5</v>
      </c>
      <c r="K8" s="1">
        <f t="shared" ref="K8:K16" si="7">max(I8-5,5)</f>
        <v>5</v>
      </c>
      <c r="L8" s="1">
        <f t="shared" si="5"/>
        <v>5</v>
      </c>
      <c r="M8" s="7">
        <f t="shared" ref="M8:M16" si="8">I8+5</f>
        <v>10</v>
      </c>
      <c r="N8" s="7">
        <f t="shared" ref="N8:N16" si="9">M8+N7</f>
        <v>10</v>
      </c>
      <c r="O8" s="7">
        <f t="shared" ref="O8:O16" si="10">M8-5</f>
        <v>5</v>
      </c>
      <c r="P8" s="7">
        <f>MAX(O8-5,5)</f>
        <v>5</v>
      </c>
    </row>
    <row r="9">
      <c r="B9" s="4">
        <v>3.0</v>
      </c>
      <c r="D9" s="7">
        <f t="shared" ref="D9:E9" si="6">D8-1</f>
        <v>13</v>
      </c>
      <c r="E9" s="7">
        <f t="shared" si="6"/>
        <v>38</v>
      </c>
      <c r="F9" s="2" t="s">
        <v>37</v>
      </c>
      <c r="G9" s="2" t="s">
        <v>37</v>
      </c>
      <c r="H9" s="1" t="str">
        <f t="shared" si="3"/>
        <v>+8</v>
      </c>
      <c r="I9" s="4">
        <v>5.0</v>
      </c>
      <c r="J9" s="1">
        <f t="shared" si="4"/>
        <v>10</v>
      </c>
      <c r="K9" s="1">
        <f t="shared" si="7"/>
        <v>5</v>
      </c>
      <c r="L9" s="1">
        <f t="shared" si="5"/>
        <v>10</v>
      </c>
      <c r="M9" s="7">
        <f t="shared" si="8"/>
        <v>10</v>
      </c>
      <c r="N9" s="7">
        <f t="shared" si="9"/>
        <v>20</v>
      </c>
      <c r="O9" s="7">
        <f t="shared" si="10"/>
        <v>5</v>
      </c>
      <c r="P9" s="7">
        <f t="shared" ref="P9:P16" si="12">O9+P8</f>
        <v>10</v>
      </c>
    </row>
    <row r="10">
      <c r="B10" s="4">
        <v>4.0</v>
      </c>
      <c r="D10" s="7">
        <f t="shared" ref="D10:E10" si="11">D9-1</f>
        <v>12</v>
      </c>
      <c r="E10" s="7">
        <f t="shared" si="11"/>
        <v>37</v>
      </c>
      <c r="F10" s="2" t="s">
        <v>37</v>
      </c>
      <c r="G10" s="2" t="s">
        <v>37</v>
      </c>
      <c r="H10" s="1" t="str">
        <f t="shared" si="3"/>
        <v>+9</v>
      </c>
      <c r="I10" s="4">
        <v>5.0</v>
      </c>
      <c r="J10" s="1">
        <f t="shared" si="4"/>
        <v>15</v>
      </c>
      <c r="K10" s="1">
        <f t="shared" si="7"/>
        <v>5</v>
      </c>
      <c r="L10" s="1">
        <f t="shared" si="5"/>
        <v>15</v>
      </c>
      <c r="M10" s="7">
        <f t="shared" si="8"/>
        <v>10</v>
      </c>
      <c r="N10" s="7">
        <f t="shared" si="9"/>
        <v>30</v>
      </c>
      <c r="O10" s="7">
        <f t="shared" si="10"/>
        <v>5</v>
      </c>
      <c r="P10" s="7">
        <f t="shared" si="12"/>
        <v>15</v>
      </c>
    </row>
    <row r="11">
      <c r="B11" s="4">
        <v>5.0</v>
      </c>
      <c r="C11" s="2" t="s">
        <v>129</v>
      </c>
      <c r="D11" s="7">
        <f t="shared" ref="D11:E11" si="13">D10-1</f>
        <v>11</v>
      </c>
      <c r="E11" s="7">
        <f t="shared" si="13"/>
        <v>36</v>
      </c>
      <c r="F11" s="2" t="s">
        <v>37</v>
      </c>
      <c r="G11" s="2" t="s">
        <v>37</v>
      </c>
      <c r="H11" s="1" t="str">
        <f t="shared" si="3"/>
        <v>+10</v>
      </c>
      <c r="I11" s="4">
        <v>5.0</v>
      </c>
      <c r="J11" s="1">
        <f t="shared" si="4"/>
        <v>20</v>
      </c>
      <c r="K11" s="1">
        <f t="shared" si="7"/>
        <v>5</v>
      </c>
      <c r="L11" s="1">
        <f t="shared" si="5"/>
        <v>20</v>
      </c>
      <c r="M11" s="7">
        <f t="shared" si="8"/>
        <v>10</v>
      </c>
      <c r="N11" s="7">
        <f t="shared" si="9"/>
        <v>40</v>
      </c>
      <c r="O11" s="7">
        <f t="shared" si="10"/>
        <v>5</v>
      </c>
      <c r="P11" s="7">
        <f t="shared" si="12"/>
        <v>20</v>
      </c>
    </row>
    <row r="12">
      <c r="B12" s="4">
        <v>6.0</v>
      </c>
      <c r="D12" s="7">
        <f t="shared" ref="D12:E12" si="14">D11-1</f>
        <v>10</v>
      </c>
      <c r="E12" s="7">
        <f t="shared" si="14"/>
        <v>35</v>
      </c>
      <c r="F12" s="2" t="s">
        <v>37</v>
      </c>
      <c r="G12" s="2" t="s">
        <v>37</v>
      </c>
      <c r="H12" s="1" t="str">
        <f t="shared" si="3"/>
        <v>+11</v>
      </c>
      <c r="I12" s="4">
        <v>10.0</v>
      </c>
      <c r="J12" s="1">
        <f t="shared" si="4"/>
        <v>30</v>
      </c>
      <c r="K12" s="1">
        <f t="shared" si="7"/>
        <v>5</v>
      </c>
      <c r="L12" s="1">
        <f t="shared" si="5"/>
        <v>25</v>
      </c>
      <c r="M12" s="7">
        <f t="shared" si="8"/>
        <v>15</v>
      </c>
      <c r="N12" s="7">
        <f t="shared" si="9"/>
        <v>55</v>
      </c>
      <c r="O12" s="7">
        <f t="shared" si="10"/>
        <v>10</v>
      </c>
      <c r="P12" s="7">
        <f t="shared" si="12"/>
        <v>30</v>
      </c>
    </row>
    <row r="13">
      <c r="B13" s="4">
        <v>7.0</v>
      </c>
      <c r="D13" s="2">
        <v>10.0</v>
      </c>
      <c r="E13" s="7">
        <f t="shared" ref="E13:E16" si="15">E12-1</f>
        <v>34</v>
      </c>
      <c r="F13" s="2" t="s">
        <v>37</v>
      </c>
      <c r="G13" s="2" t="s">
        <v>37</v>
      </c>
      <c r="H13" s="1" t="str">
        <f t="shared" si="3"/>
        <v>+12</v>
      </c>
      <c r="I13" s="4">
        <v>10.0</v>
      </c>
      <c r="J13" s="1">
        <f t="shared" si="4"/>
        <v>40</v>
      </c>
      <c r="K13" s="1">
        <f t="shared" si="7"/>
        <v>5</v>
      </c>
      <c r="L13" s="1">
        <f t="shared" si="5"/>
        <v>30</v>
      </c>
      <c r="M13" s="7">
        <f t="shared" si="8"/>
        <v>15</v>
      </c>
      <c r="N13" s="7">
        <f t="shared" si="9"/>
        <v>70</v>
      </c>
      <c r="O13" s="7">
        <f t="shared" si="10"/>
        <v>10</v>
      </c>
      <c r="P13" s="7">
        <f t="shared" si="12"/>
        <v>40</v>
      </c>
    </row>
    <row r="14">
      <c r="B14" s="4">
        <v>8.0</v>
      </c>
      <c r="D14" s="2">
        <v>10.0</v>
      </c>
      <c r="E14" s="7">
        <f t="shared" si="15"/>
        <v>33</v>
      </c>
      <c r="F14" s="2" t="s">
        <v>37</v>
      </c>
      <c r="G14" s="2" t="s">
        <v>37</v>
      </c>
      <c r="H14" s="1" t="str">
        <f t="shared" si="3"/>
        <v>+13</v>
      </c>
      <c r="I14" s="4">
        <v>10.0</v>
      </c>
      <c r="J14" s="1">
        <f t="shared" si="4"/>
        <v>50</v>
      </c>
      <c r="K14" s="1">
        <f t="shared" si="7"/>
        <v>5</v>
      </c>
      <c r="L14" s="1">
        <f t="shared" si="5"/>
        <v>35</v>
      </c>
      <c r="M14" s="7">
        <f t="shared" si="8"/>
        <v>15</v>
      </c>
      <c r="N14" s="7">
        <f t="shared" si="9"/>
        <v>85</v>
      </c>
      <c r="O14" s="7">
        <f t="shared" si="10"/>
        <v>10</v>
      </c>
      <c r="P14" s="7">
        <f t="shared" si="12"/>
        <v>50</v>
      </c>
    </row>
    <row r="15">
      <c r="B15" s="4">
        <v>9.0</v>
      </c>
      <c r="D15" s="2">
        <v>10.0</v>
      </c>
      <c r="E15" s="7">
        <f t="shared" si="15"/>
        <v>32</v>
      </c>
      <c r="F15" s="2" t="s">
        <v>37</v>
      </c>
      <c r="G15" s="2" t="s">
        <v>37</v>
      </c>
      <c r="H15" s="1" t="str">
        <f t="shared" si="3"/>
        <v>+14</v>
      </c>
      <c r="I15" s="4">
        <v>10.0</v>
      </c>
      <c r="J15" s="1">
        <f t="shared" si="4"/>
        <v>60</v>
      </c>
      <c r="K15" s="1">
        <f t="shared" si="7"/>
        <v>5</v>
      </c>
      <c r="L15" s="1">
        <f t="shared" si="5"/>
        <v>40</v>
      </c>
      <c r="M15" s="7">
        <f t="shared" si="8"/>
        <v>15</v>
      </c>
      <c r="N15" s="7">
        <f t="shared" si="9"/>
        <v>100</v>
      </c>
      <c r="O15" s="7">
        <f t="shared" si="10"/>
        <v>10</v>
      </c>
      <c r="P15" s="7">
        <f t="shared" si="12"/>
        <v>60</v>
      </c>
    </row>
    <row r="16">
      <c r="B16" s="4">
        <v>10.0</v>
      </c>
      <c r="C16" s="2" t="s">
        <v>150</v>
      </c>
      <c r="D16" s="2">
        <v>10.0</v>
      </c>
      <c r="E16" s="7">
        <f t="shared" si="15"/>
        <v>31</v>
      </c>
      <c r="F16" s="2" t="s">
        <v>37</v>
      </c>
      <c r="G16" s="2" t="s">
        <v>37</v>
      </c>
      <c r="H16" s="1" t="str">
        <f t="shared" si="3"/>
        <v>+15</v>
      </c>
      <c r="I16" s="4">
        <v>10.0</v>
      </c>
      <c r="J16" s="1">
        <f t="shared" si="4"/>
        <v>70</v>
      </c>
      <c r="K16" s="1">
        <f t="shared" si="7"/>
        <v>5</v>
      </c>
      <c r="L16" s="1">
        <f t="shared" si="5"/>
        <v>45</v>
      </c>
      <c r="M16" s="7">
        <f t="shared" si="8"/>
        <v>15</v>
      </c>
      <c r="N16" s="7">
        <f t="shared" si="9"/>
        <v>115</v>
      </c>
      <c r="O16" s="7">
        <f t="shared" si="10"/>
        <v>10</v>
      </c>
      <c r="P16" s="7">
        <f t="shared" si="12"/>
        <v>70</v>
      </c>
    </row>
    <row r="17">
      <c r="B17" s="4"/>
      <c r="C17" s="61" t="s">
        <v>155</v>
      </c>
      <c r="D17" s="4"/>
      <c r="E17" s="4"/>
      <c r="F17" s="4"/>
      <c r="G17" s="4"/>
      <c r="H17" s="1" t="str">
        <f>CONCATENATE("+",H16+5)</f>
        <v>+20</v>
      </c>
      <c r="I17" s="4"/>
      <c r="J17" s="4"/>
      <c r="K17" s="4"/>
      <c r="L17" s="4"/>
    </row>
    <row r="18">
      <c r="B18" s="4"/>
      <c r="C18" s="61"/>
      <c r="D18" s="4"/>
      <c r="E18" s="4"/>
      <c r="F18" s="4"/>
      <c r="G18" s="4"/>
      <c r="H18" s="4"/>
      <c r="I18" s="4"/>
      <c r="J18" s="4"/>
      <c r="K18" s="4"/>
      <c r="L18" s="4"/>
    </row>
    <row r="19">
      <c r="B19" s="4"/>
      <c r="C19" s="63" t="s">
        <v>166</v>
      </c>
    </row>
    <row r="20">
      <c r="B20" s="4">
        <v>11.0</v>
      </c>
      <c r="C20" s="2" t="s">
        <v>167</v>
      </c>
      <c r="D20" s="2">
        <v>10.0</v>
      </c>
      <c r="E20" s="7">
        <f>E16-1</f>
        <v>30</v>
      </c>
      <c r="F20" s="2">
        <v>54.0</v>
      </c>
      <c r="G20" s="2" t="s">
        <v>37</v>
      </c>
      <c r="H20" s="1" t="str">
        <f>CONCATENATE("+",VALUE(H17+1))</f>
        <v>+21</v>
      </c>
      <c r="I20" s="4">
        <v>15.0</v>
      </c>
      <c r="J20" s="1">
        <f>I20+J16</f>
        <v>85</v>
      </c>
      <c r="K20" s="1">
        <f t="shared" ref="K20:K34" si="17">max(I20-10,5)</f>
        <v>5</v>
      </c>
      <c r="L20" s="1">
        <f>K20+L16</f>
        <v>50</v>
      </c>
      <c r="M20" s="7">
        <f t="shared" ref="M20:M34" si="18">I20+5</f>
        <v>20</v>
      </c>
      <c r="N20" s="7">
        <f>M20+N16</f>
        <v>135</v>
      </c>
      <c r="O20" s="7">
        <f t="shared" ref="O20:O34" si="19">M20-10</f>
        <v>10</v>
      </c>
      <c r="P20" s="7">
        <f>O20+P16</f>
        <v>80</v>
      </c>
    </row>
    <row r="21">
      <c r="B21" s="4">
        <v>12.0</v>
      </c>
      <c r="D21" s="2">
        <v>9.0</v>
      </c>
      <c r="E21" s="7">
        <f t="shared" ref="E21:F21" si="16">E20-1</f>
        <v>29</v>
      </c>
      <c r="F21" s="7">
        <f t="shared" si="16"/>
        <v>53</v>
      </c>
      <c r="H21" s="1" t="str">
        <f t="shared" ref="H21:H34" si="21">CONCATENATE("+",VALUE(H20+1))</f>
        <v>+22</v>
      </c>
      <c r="I21" s="4">
        <v>15.0</v>
      </c>
      <c r="J21" s="1">
        <f t="shared" ref="J21:J34" si="22">I21+J20</f>
        <v>100</v>
      </c>
      <c r="K21" s="1">
        <f t="shared" si="17"/>
        <v>5</v>
      </c>
      <c r="L21" s="1">
        <f t="shared" ref="L21:L34" si="23">K21+L20</f>
        <v>55</v>
      </c>
      <c r="M21" s="7">
        <f t="shared" si="18"/>
        <v>20</v>
      </c>
      <c r="N21" s="7">
        <f t="shared" ref="N21:N34" si="24">M21+N20</f>
        <v>155</v>
      </c>
      <c r="O21" s="7">
        <f t="shared" si="19"/>
        <v>10</v>
      </c>
      <c r="P21" s="7">
        <f t="shared" ref="P21:P34" si="25">O21+P20</f>
        <v>90</v>
      </c>
    </row>
    <row r="22">
      <c r="B22" s="4">
        <v>13.0</v>
      </c>
      <c r="D22" s="2">
        <v>8.0</v>
      </c>
      <c r="E22" s="7">
        <f t="shared" ref="E22:F22" si="20">E21-1</f>
        <v>28</v>
      </c>
      <c r="F22" s="7">
        <f t="shared" si="20"/>
        <v>52</v>
      </c>
      <c r="H22" s="1" t="str">
        <f t="shared" si="21"/>
        <v>+23</v>
      </c>
      <c r="I22" s="4">
        <v>15.0</v>
      </c>
      <c r="J22" s="1">
        <f t="shared" si="22"/>
        <v>115</v>
      </c>
      <c r="K22" s="1">
        <f t="shared" si="17"/>
        <v>5</v>
      </c>
      <c r="L22" s="1">
        <f t="shared" si="23"/>
        <v>60</v>
      </c>
      <c r="M22" s="7">
        <f t="shared" si="18"/>
        <v>20</v>
      </c>
      <c r="N22" s="7">
        <f t="shared" si="24"/>
        <v>175</v>
      </c>
      <c r="O22" s="7">
        <f t="shared" si="19"/>
        <v>10</v>
      </c>
      <c r="P22" s="7">
        <f t="shared" si="25"/>
        <v>100</v>
      </c>
    </row>
    <row r="23">
      <c r="B23" s="4">
        <v>14.0</v>
      </c>
      <c r="D23" s="2">
        <v>7.0</v>
      </c>
      <c r="E23" s="7">
        <f t="shared" ref="E23:F23" si="26">E22-1</f>
        <v>27</v>
      </c>
      <c r="F23" s="7">
        <f t="shared" si="26"/>
        <v>51</v>
      </c>
      <c r="H23" s="1" t="str">
        <f t="shared" si="21"/>
        <v>+24</v>
      </c>
      <c r="I23" s="4">
        <v>15.0</v>
      </c>
      <c r="J23" s="1">
        <f t="shared" si="22"/>
        <v>130</v>
      </c>
      <c r="K23" s="1">
        <f t="shared" si="17"/>
        <v>5</v>
      </c>
      <c r="L23" s="1">
        <f t="shared" si="23"/>
        <v>65</v>
      </c>
      <c r="M23" s="7">
        <f t="shared" si="18"/>
        <v>20</v>
      </c>
      <c r="N23" s="7">
        <f t="shared" si="24"/>
        <v>195</v>
      </c>
      <c r="O23" s="7">
        <f t="shared" si="19"/>
        <v>10</v>
      </c>
      <c r="P23" s="7">
        <f t="shared" si="25"/>
        <v>110</v>
      </c>
    </row>
    <row r="24">
      <c r="B24" s="4">
        <v>15.0</v>
      </c>
      <c r="C24" s="2" t="s">
        <v>223</v>
      </c>
      <c r="D24" s="2">
        <v>6.0</v>
      </c>
      <c r="E24" s="7">
        <f t="shared" ref="E24:F24" si="27">E23-1</f>
        <v>26</v>
      </c>
      <c r="F24" s="7">
        <f t="shared" si="27"/>
        <v>50</v>
      </c>
      <c r="H24" s="1" t="str">
        <f t="shared" si="21"/>
        <v>+25</v>
      </c>
      <c r="I24" s="4">
        <v>15.0</v>
      </c>
      <c r="J24" s="1">
        <f t="shared" si="22"/>
        <v>145</v>
      </c>
      <c r="K24" s="1">
        <f t="shared" si="17"/>
        <v>5</v>
      </c>
      <c r="L24" s="1">
        <f t="shared" si="23"/>
        <v>70</v>
      </c>
      <c r="M24" s="7">
        <f t="shared" si="18"/>
        <v>20</v>
      </c>
      <c r="N24" s="7">
        <f t="shared" si="24"/>
        <v>215</v>
      </c>
      <c r="O24" s="7">
        <f t="shared" si="19"/>
        <v>10</v>
      </c>
      <c r="P24" s="7">
        <f t="shared" si="25"/>
        <v>120</v>
      </c>
    </row>
    <row r="25">
      <c r="B25" s="4">
        <v>16.0</v>
      </c>
      <c r="D25" s="2">
        <v>5.0</v>
      </c>
      <c r="E25" s="7">
        <f t="shared" ref="E25:F25" si="28">E24-1</f>
        <v>25</v>
      </c>
      <c r="F25" s="7">
        <f t="shared" si="28"/>
        <v>49</v>
      </c>
      <c r="H25" s="1" t="str">
        <f t="shared" si="21"/>
        <v>+26</v>
      </c>
      <c r="I25" s="4">
        <v>15.0</v>
      </c>
      <c r="J25" s="1">
        <f t="shared" si="22"/>
        <v>160</v>
      </c>
      <c r="K25" s="1">
        <f t="shared" si="17"/>
        <v>5</v>
      </c>
      <c r="L25" s="1">
        <f t="shared" si="23"/>
        <v>75</v>
      </c>
      <c r="M25" s="7">
        <f t="shared" si="18"/>
        <v>20</v>
      </c>
      <c r="N25" s="7">
        <f t="shared" si="24"/>
        <v>235</v>
      </c>
      <c r="O25" s="7">
        <f t="shared" si="19"/>
        <v>10</v>
      </c>
      <c r="P25" s="7">
        <f t="shared" si="25"/>
        <v>130</v>
      </c>
    </row>
    <row r="26">
      <c r="B26" s="4">
        <v>17.0</v>
      </c>
      <c r="D26" s="2">
        <v>5.0</v>
      </c>
      <c r="E26" s="7">
        <f t="shared" ref="E26:F26" si="29">E25-1</f>
        <v>24</v>
      </c>
      <c r="F26" s="7">
        <f t="shared" si="29"/>
        <v>48</v>
      </c>
      <c r="H26" s="1" t="str">
        <f t="shared" si="21"/>
        <v>+27</v>
      </c>
      <c r="I26" s="4">
        <v>15.0</v>
      </c>
      <c r="J26" s="1">
        <f t="shared" si="22"/>
        <v>175</v>
      </c>
      <c r="K26" s="1">
        <f t="shared" si="17"/>
        <v>5</v>
      </c>
      <c r="L26" s="1">
        <f t="shared" si="23"/>
        <v>80</v>
      </c>
      <c r="M26" s="7">
        <f t="shared" si="18"/>
        <v>20</v>
      </c>
      <c r="N26" s="7">
        <f t="shared" si="24"/>
        <v>255</v>
      </c>
      <c r="O26" s="7">
        <f t="shared" si="19"/>
        <v>10</v>
      </c>
      <c r="P26" s="7">
        <f t="shared" si="25"/>
        <v>140</v>
      </c>
    </row>
    <row r="27">
      <c r="B27" s="4">
        <v>18.0</v>
      </c>
      <c r="D27" s="2">
        <v>5.0</v>
      </c>
      <c r="E27" s="7">
        <f t="shared" ref="E27:F27" si="30">E26-1</f>
        <v>23</v>
      </c>
      <c r="F27" s="7">
        <f t="shared" si="30"/>
        <v>47</v>
      </c>
      <c r="H27" s="1" t="str">
        <f t="shared" si="21"/>
        <v>+28</v>
      </c>
      <c r="I27" s="4">
        <v>15.0</v>
      </c>
      <c r="J27" s="1">
        <f t="shared" si="22"/>
        <v>190</v>
      </c>
      <c r="K27" s="1">
        <f t="shared" si="17"/>
        <v>5</v>
      </c>
      <c r="L27" s="1">
        <f t="shared" si="23"/>
        <v>85</v>
      </c>
      <c r="M27" s="7">
        <f t="shared" si="18"/>
        <v>20</v>
      </c>
      <c r="N27" s="7">
        <f t="shared" si="24"/>
        <v>275</v>
      </c>
      <c r="O27" s="7">
        <f t="shared" si="19"/>
        <v>10</v>
      </c>
      <c r="P27" s="7">
        <f t="shared" si="25"/>
        <v>150</v>
      </c>
    </row>
    <row r="28">
      <c r="B28" s="4">
        <v>19.0</v>
      </c>
      <c r="D28" s="2">
        <v>5.0</v>
      </c>
      <c r="E28" s="7">
        <f t="shared" ref="E28:F28" si="31">E27-1</f>
        <v>22</v>
      </c>
      <c r="F28" s="7">
        <f t="shared" si="31"/>
        <v>46</v>
      </c>
      <c r="H28" s="1" t="str">
        <f t="shared" si="21"/>
        <v>+29</v>
      </c>
      <c r="I28" s="4">
        <v>15.0</v>
      </c>
      <c r="J28" s="1">
        <f t="shared" si="22"/>
        <v>205</v>
      </c>
      <c r="K28" s="1">
        <f t="shared" si="17"/>
        <v>5</v>
      </c>
      <c r="L28" s="1">
        <f t="shared" si="23"/>
        <v>90</v>
      </c>
      <c r="M28" s="7">
        <f t="shared" si="18"/>
        <v>20</v>
      </c>
      <c r="N28" s="7">
        <f t="shared" si="24"/>
        <v>295</v>
      </c>
      <c r="O28" s="7">
        <f t="shared" si="19"/>
        <v>10</v>
      </c>
      <c r="P28" s="7">
        <f t="shared" si="25"/>
        <v>160</v>
      </c>
    </row>
    <row r="29">
      <c r="B29" s="4">
        <v>20.0</v>
      </c>
      <c r="C29" s="2" t="s">
        <v>276</v>
      </c>
      <c r="D29" s="2">
        <v>5.0</v>
      </c>
      <c r="E29" s="7">
        <f t="shared" ref="E29:F29" si="32">E28-1</f>
        <v>21</v>
      </c>
      <c r="F29" s="7">
        <f t="shared" si="32"/>
        <v>45</v>
      </c>
      <c r="H29" s="1" t="str">
        <f t="shared" si="21"/>
        <v>+30</v>
      </c>
      <c r="I29" s="4">
        <v>15.0</v>
      </c>
      <c r="J29" s="1">
        <f t="shared" si="22"/>
        <v>220</v>
      </c>
      <c r="K29" s="1">
        <f t="shared" si="17"/>
        <v>5</v>
      </c>
      <c r="L29" s="1">
        <f t="shared" si="23"/>
        <v>95</v>
      </c>
      <c r="M29" s="7">
        <f t="shared" si="18"/>
        <v>20</v>
      </c>
      <c r="N29" s="7">
        <f t="shared" si="24"/>
        <v>315</v>
      </c>
      <c r="O29" s="7">
        <f t="shared" si="19"/>
        <v>10</v>
      </c>
      <c r="P29" s="7">
        <f t="shared" si="25"/>
        <v>170</v>
      </c>
    </row>
    <row r="30">
      <c r="B30" s="4">
        <v>21.0</v>
      </c>
      <c r="D30" s="2">
        <v>5.0</v>
      </c>
      <c r="E30" s="7">
        <f t="shared" ref="E30:F30" si="33">E29-1</f>
        <v>20</v>
      </c>
      <c r="F30" s="7">
        <f t="shared" si="33"/>
        <v>44</v>
      </c>
      <c r="H30" s="1" t="str">
        <f t="shared" si="21"/>
        <v>+31</v>
      </c>
      <c r="I30" s="4">
        <v>20.0</v>
      </c>
      <c r="J30" s="1">
        <f t="shared" si="22"/>
        <v>240</v>
      </c>
      <c r="K30" s="1">
        <f t="shared" si="17"/>
        <v>10</v>
      </c>
      <c r="L30" s="1">
        <f t="shared" si="23"/>
        <v>105</v>
      </c>
      <c r="M30" s="7">
        <f t="shared" si="18"/>
        <v>25</v>
      </c>
      <c r="N30" s="7">
        <f t="shared" si="24"/>
        <v>340</v>
      </c>
      <c r="O30" s="7">
        <f t="shared" si="19"/>
        <v>15</v>
      </c>
      <c r="P30" s="7">
        <f t="shared" si="25"/>
        <v>185</v>
      </c>
    </row>
    <row r="31">
      <c r="B31" s="4">
        <v>22.0</v>
      </c>
      <c r="D31" s="2">
        <v>5.0</v>
      </c>
      <c r="E31" s="7">
        <f t="shared" ref="E31:F31" si="34">E30-1</f>
        <v>19</v>
      </c>
      <c r="F31" s="7">
        <f t="shared" si="34"/>
        <v>43</v>
      </c>
      <c r="H31" s="1" t="str">
        <f t="shared" si="21"/>
        <v>+32</v>
      </c>
      <c r="I31" s="4">
        <v>20.0</v>
      </c>
      <c r="J31" s="1">
        <f t="shared" si="22"/>
        <v>260</v>
      </c>
      <c r="K31" s="1">
        <f t="shared" si="17"/>
        <v>10</v>
      </c>
      <c r="L31" s="1">
        <f t="shared" si="23"/>
        <v>115</v>
      </c>
      <c r="M31" s="7">
        <f t="shared" si="18"/>
        <v>25</v>
      </c>
      <c r="N31" s="7">
        <f t="shared" si="24"/>
        <v>365</v>
      </c>
      <c r="O31" s="7">
        <f t="shared" si="19"/>
        <v>15</v>
      </c>
      <c r="P31" s="7">
        <f t="shared" si="25"/>
        <v>200</v>
      </c>
    </row>
    <row r="32">
      <c r="B32" s="4">
        <v>23.0</v>
      </c>
      <c r="D32" s="2">
        <v>5.0</v>
      </c>
      <c r="E32" s="7">
        <f t="shared" ref="E32:F32" si="35">E31-1</f>
        <v>18</v>
      </c>
      <c r="F32" s="7">
        <f t="shared" si="35"/>
        <v>42</v>
      </c>
      <c r="H32" s="1" t="str">
        <f t="shared" si="21"/>
        <v>+33</v>
      </c>
      <c r="I32" s="4">
        <v>20.0</v>
      </c>
      <c r="J32" s="1">
        <f t="shared" si="22"/>
        <v>280</v>
      </c>
      <c r="K32" s="1">
        <f t="shared" si="17"/>
        <v>10</v>
      </c>
      <c r="L32" s="1">
        <f t="shared" si="23"/>
        <v>125</v>
      </c>
      <c r="M32" s="7">
        <f t="shared" si="18"/>
        <v>25</v>
      </c>
      <c r="N32" s="7">
        <f t="shared" si="24"/>
        <v>390</v>
      </c>
      <c r="O32" s="7">
        <f t="shared" si="19"/>
        <v>15</v>
      </c>
      <c r="P32" s="7">
        <f t="shared" si="25"/>
        <v>215</v>
      </c>
    </row>
    <row r="33">
      <c r="B33" s="4">
        <v>24.0</v>
      </c>
      <c r="D33" s="2">
        <v>5.0</v>
      </c>
      <c r="E33" s="7">
        <f t="shared" ref="E33:F33" si="36">E32-1</f>
        <v>17</v>
      </c>
      <c r="F33" s="7">
        <f t="shared" si="36"/>
        <v>41</v>
      </c>
      <c r="H33" s="1" t="str">
        <f t="shared" si="21"/>
        <v>+34</v>
      </c>
      <c r="I33" s="4">
        <v>20.0</v>
      </c>
      <c r="J33" s="1">
        <f t="shared" si="22"/>
        <v>300</v>
      </c>
      <c r="K33" s="1">
        <f t="shared" si="17"/>
        <v>10</v>
      </c>
      <c r="L33" s="1">
        <f t="shared" si="23"/>
        <v>135</v>
      </c>
      <c r="M33" s="7">
        <f t="shared" si="18"/>
        <v>25</v>
      </c>
      <c r="N33" s="7">
        <f t="shared" si="24"/>
        <v>415</v>
      </c>
      <c r="O33" s="7">
        <f t="shared" si="19"/>
        <v>15</v>
      </c>
      <c r="P33" s="7">
        <f t="shared" si="25"/>
        <v>230</v>
      </c>
    </row>
    <row r="34">
      <c r="B34" s="4">
        <v>25.0</v>
      </c>
      <c r="C34" s="2" t="s">
        <v>328</v>
      </c>
      <c r="D34" s="2">
        <v>5.0</v>
      </c>
      <c r="E34" s="7">
        <f t="shared" ref="E34:F34" si="37">E33-1</f>
        <v>16</v>
      </c>
      <c r="F34" s="7">
        <f t="shared" si="37"/>
        <v>40</v>
      </c>
      <c r="H34" s="1" t="str">
        <f t="shared" si="21"/>
        <v>+35</v>
      </c>
      <c r="I34" s="4">
        <v>20.0</v>
      </c>
      <c r="J34" s="1">
        <f t="shared" si="22"/>
        <v>320</v>
      </c>
      <c r="K34" s="1">
        <f t="shared" si="17"/>
        <v>10</v>
      </c>
      <c r="L34" s="1">
        <f t="shared" si="23"/>
        <v>145</v>
      </c>
      <c r="M34" s="7">
        <f t="shared" si="18"/>
        <v>25</v>
      </c>
      <c r="N34" s="7">
        <f t="shared" si="24"/>
        <v>440</v>
      </c>
      <c r="O34" s="7">
        <f t="shared" si="19"/>
        <v>15</v>
      </c>
      <c r="P34" s="7">
        <f t="shared" si="25"/>
        <v>245</v>
      </c>
    </row>
    <row r="35">
      <c r="B35" s="4"/>
      <c r="C35" s="2" t="s">
        <v>340</v>
      </c>
      <c r="D35" s="4"/>
      <c r="E35" s="4"/>
      <c r="F35" s="4"/>
      <c r="G35" s="4"/>
      <c r="H35" s="1" t="str">
        <f>CONCATENATE("+",VALUE(H34+5))</f>
        <v>+40</v>
      </c>
      <c r="I35" s="4"/>
      <c r="J35" s="4"/>
      <c r="K35" s="4"/>
      <c r="L35" s="4"/>
    </row>
    <row r="36">
      <c r="B36" s="4"/>
      <c r="C36" s="61"/>
      <c r="D36" s="4"/>
      <c r="E36" s="4"/>
      <c r="F36" s="4"/>
      <c r="G36" s="4"/>
      <c r="H36" s="4"/>
      <c r="I36" s="4"/>
      <c r="J36" s="4"/>
      <c r="K36" s="4"/>
      <c r="L36" s="4"/>
    </row>
    <row r="37">
      <c r="B37" s="4"/>
      <c r="C37" s="131" t="s">
        <v>351</v>
      </c>
    </row>
    <row r="38">
      <c r="B38" s="4">
        <v>26.0</v>
      </c>
      <c r="C38" s="2" t="s">
        <v>356</v>
      </c>
      <c r="D38" s="112" t="s">
        <v>357</v>
      </c>
      <c r="E38" s="2">
        <v>15.0</v>
      </c>
      <c r="F38" s="2">
        <v>39.0</v>
      </c>
      <c r="G38" s="2">
        <v>64.0</v>
      </c>
      <c r="H38" s="1" t="str">
        <f>CONCATENATE("+",VALUE(H35+2))</f>
        <v>+42</v>
      </c>
      <c r="I38" s="4">
        <v>25.0</v>
      </c>
      <c r="J38" s="1">
        <f>I38+J34</f>
        <v>345</v>
      </c>
      <c r="K38" s="1">
        <f>max(I38-15,5)</f>
        <v>10</v>
      </c>
      <c r="L38" s="1">
        <f>K38+L34</f>
        <v>155</v>
      </c>
      <c r="M38" s="7">
        <f>I38+5</f>
        <v>30</v>
      </c>
      <c r="N38" s="7">
        <f>M38+N34</f>
        <v>470</v>
      </c>
      <c r="O38" s="7">
        <f>M38-15</f>
        <v>15</v>
      </c>
      <c r="P38" s="7">
        <f>O38+P34</f>
        <v>260</v>
      </c>
    </row>
    <row r="39">
      <c r="B39" s="4"/>
      <c r="C39" s="2" t="s">
        <v>385</v>
      </c>
      <c r="D39" s="112"/>
      <c r="H39" s="1"/>
      <c r="I39" s="4"/>
      <c r="J39" s="1"/>
      <c r="K39" s="1"/>
      <c r="L39" s="1"/>
    </row>
    <row r="40">
      <c r="B40" s="4">
        <v>27.0</v>
      </c>
      <c r="D40" s="112" t="s">
        <v>357</v>
      </c>
      <c r="E40" s="7">
        <f t="shared" ref="E40:G40" si="38">E38-1</f>
        <v>14</v>
      </c>
      <c r="F40" s="7">
        <f t="shared" si="38"/>
        <v>38</v>
      </c>
      <c r="G40" s="7">
        <f t="shared" si="38"/>
        <v>63</v>
      </c>
      <c r="H40" s="1" t="str">
        <f>CONCATENATE("+",VALUE(H38+2))</f>
        <v>+44</v>
      </c>
      <c r="I40" s="4">
        <v>25.0</v>
      </c>
      <c r="J40" s="1">
        <f>I40+J38</f>
        <v>370</v>
      </c>
      <c r="K40" s="1">
        <f t="shared" ref="K40:K53" si="40">max(I40-15,5)</f>
        <v>10</v>
      </c>
      <c r="L40" s="1">
        <f>K40+L38</f>
        <v>165</v>
      </c>
      <c r="M40" s="7">
        <f t="shared" ref="M40:M53" si="41">I40+5</f>
        <v>30</v>
      </c>
      <c r="N40" s="7">
        <f>M40+N38</f>
        <v>500</v>
      </c>
      <c r="O40" s="7">
        <f t="shared" ref="O40:O53" si="42">M40-15</f>
        <v>15</v>
      </c>
      <c r="P40" s="7">
        <f>O40+P38</f>
        <v>275</v>
      </c>
    </row>
    <row r="41">
      <c r="B41" s="4">
        <v>28.0</v>
      </c>
      <c r="D41" s="112" t="s">
        <v>357</v>
      </c>
      <c r="E41" s="7">
        <f t="shared" ref="E41:G41" si="39">E40-1</f>
        <v>13</v>
      </c>
      <c r="F41" s="7">
        <f t="shared" si="39"/>
        <v>37</v>
      </c>
      <c r="G41" s="7">
        <f t="shared" si="39"/>
        <v>62</v>
      </c>
      <c r="H41" s="1" t="str">
        <f t="shared" ref="H41:H53" si="44">CONCATENATE("+",VALUE(H40+2))</f>
        <v>+46</v>
      </c>
      <c r="I41" s="4">
        <v>25.0</v>
      </c>
      <c r="J41" s="1">
        <f t="shared" ref="J41:J53" si="45">I41+J40</f>
        <v>395</v>
      </c>
      <c r="K41" s="1">
        <f t="shared" si="40"/>
        <v>10</v>
      </c>
      <c r="L41" s="1">
        <f t="shared" ref="L41:L53" si="46">K41+L40</f>
        <v>175</v>
      </c>
      <c r="M41" s="7">
        <f t="shared" si="41"/>
        <v>30</v>
      </c>
      <c r="N41" s="7">
        <f t="shared" ref="N41:N53" si="47">M41+N40</f>
        <v>530</v>
      </c>
      <c r="O41" s="7">
        <f t="shared" si="42"/>
        <v>15</v>
      </c>
      <c r="P41" s="7">
        <f t="shared" ref="P41:P53" si="48">O41+P40</f>
        <v>290</v>
      </c>
    </row>
    <row r="42">
      <c r="B42" s="4">
        <v>29.0</v>
      </c>
      <c r="D42" s="112" t="s">
        <v>357</v>
      </c>
      <c r="E42" s="7">
        <f t="shared" ref="E42:G42" si="43">E41-1</f>
        <v>12</v>
      </c>
      <c r="F42" s="7">
        <f t="shared" si="43"/>
        <v>36</v>
      </c>
      <c r="G42" s="7">
        <f t="shared" si="43"/>
        <v>61</v>
      </c>
      <c r="H42" s="1" t="str">
        <f t="shared" si="44"/>
        <v>+48</v>
      </c>
      <c r="I42" s="4">
        <v>25.0</v>
      </c>
      <c r="J42" s="1">
        <f t="shared" si="45"/>
        <v>420</v>
      </c>
      <c r="K42" s="1">
        <f t="shared" si="40"/>
        <v>10</v>
      </c>
      <c r="L42" s="1">
        <f t="shared" si="46"/>
        <v>185</v>
      </c>
      <c r="M42" s="7">
        <f t="shared" si="41"/>
        <v>30</v>
      </c>
      <c r="N42" s="7">
        <f t="shared" si="47"/>
        <v>560</v>
      </c>
      <c r="O42" s="7">
        <f t="shared" si="42"/>
        <v>15</v>
      </c>
      <c r="P42" s="7">
        <f t="shared" si="48"/>
        <v>305</v>
      </c>
    </row>
    <row r="43">
      <c r="B43" s="4">
        <v>30.0</v>
      </c>
      <c r="C43" s="2" t="s">
        <v>453</v>
      </c>
      <c r="D43" s="112" t="s">
        <v>357</v>
      </c>
      <c r="E43" s="7">
        <f t="shared" ref="E43:G43" si="49">E42-1</f>
        <v>11</v>
      </c>
      <c r="F43" s="7">
        <f t="shared" si="49"/>
        <v>35</v>
      </c>
      <c r="G43" s="7">
        <f t="shared" si="49"/>
        <v>60</v>
      </c>
      <c r="H43" s="1" t="str">
        <f t="shared" si="44"/>
        <v>+50</v>
      </c>
      <c r="I43" s="4">
        <v>25.0</v>
      </c>
      <c r="J43" s="1">
        <f t="shared" si="45"/>
        <v>445</v>
      </c>
      <c r="K43" s="1">
        <f t="shared" si="40"/>
        <v>10</v>
      </c>
      <c r="L43" s="1">
        <f t="shared" si="46"/>
        <v>195</v>
      </c>
      <c r="M43" s="7">
        <f t="shared" si="41"/>
        <v>30</v>
      </c>
      <c r="N43" s="7">
        <f t="shared" si="47"/>
        <v>590</v>
      </c>
      <c r="O43" s="7">
        <f t="shared" si="42"/>
        <v>15</v>
      </c>
      <c r="P43" s="7">
        <f t="shared" si="48"/>
        <v>320</v>
      </c>
    </row>
    <row r="44">
      <c r="B44" s="4">
        <v>31.0</v>
      </c>
      <c r="D44" s="112" t="s">
        <v>357</v>
      </c>
      <c r="E44" s="7">
        <f t="shared" ref="E44:G44" si="50">E43-1</f>
        <v>10</v>
      </c>
      <c r="F44" s="7">
        <f t="shared" si="50"/>
        <v>34</v>
      </c>
      <c r="G44" s="7">
        <f t="shared" si="50"/>
        <v>59</v>
      </c>
      <c r="H44" s="1" t="str">
        <f t="shared" si="44"/>
        <v>+52</v>
      </c>
      <c r="I44" s="4">
        <v>25.0</v>
      </c>
      <c r="J44" s="1">
        <f t="shared" si="45"/>
        <v>470</v>
      </c>
      <c r="K44" s="1">
        <f t="shared" si="40"/>
        <v>10</v>
      </c>
      <c r="L44" s="1">
        <f t="shared" si="46"/>
        <v>205</v>
      </c>
      <c r="M44" s="7">
        <f t="shared" si="41"/>
        <v>30</v>
      </c>
      <c r="N44" s="7">
        <f t="shared" si="47"/>
        <v>620</v>
      </c>
      <c r="O44" s="7">
        <f t="shared" si="42"/>
        <v>15</v>
      </c>
      <c r="P44" s="7">
        <f t="shared" si="48"/>
        <v>335</v>
      </c>
    </row>
    <row r="45">
      <c r="B45" s="4">
        <v>32.0</v>
      </c>
      <c r="D45" s="112" t="s">
        <v>357</v>
      </c>
      <c r="E45" s="2">
        <v>10.0</v>
      </c>
      <c r="F45" s="7">
        <f t="shared" ref="F45:G45" si="51">F44-1</f>
        <v>33</v>
      </c>
      <c r="G45" s="7">
        <f t="shared" si="51"/>
        <v>58</v>
      </c>
      <c r="H45" s="1" t="str">
        <f t="shared" si="44"/>
        <v>+54</v>
      </c>
      <c r="I45" s="4">
        <v>25.0</v>
      </c>
      <c r="J45" s="1">
        <f t="shared" si="45"/>
        <v>495</v>
      </c>
      <c r="K45" s="1">
        <f t="shared" si="40"/>
        <v>10</v>
      </c>
      <c r="L45" s="1">
        <f t="shared" si="46"/>
        <v>215</v>
      </c>
      <c r="M45" s="7">
        <f t="shared" si="41"/>
        <v>30</v>
      </c>
      <c r="N45" s="7">
        <f t="shared" si="47"/>
        <v>650</v>
      </c>
      <c r="O45" s="7">
        <f t="shared" si="42"/>
        <v>15</v>
      </c>
      <c r="P45" s="7">
        <f t="shared" si="48"/>
        <v>350</v>
      </c>
    </row>
    <row r="46">
      <c r="B46" s="4">
        <v>33.0</v>
      </c>
      <c r="D46" s="112" t="s">
        <v>357</v>
      </c>
      <c r="E46" s="2">
        <v>10.0</v>
      </c>
      <c r="F46" s="7">
        <f t="shared" ref="F46:G46" si="52">F45-1</f>
        <v>32</v>
      </c>
      <c r="G46" s="7">
        <f t="shared" si="52"/>
        <v>57</v>
      </c>
      <c r="H46" s="1" t="str">
        <f t="shared" si="44"/>
        <v>+56</v>
      </c>
      <c r="I46" s="4">
        <v>25.0</v>
      </c>
      <c r="J46" s="1">
        <f t="shared" si="45"/>
        <v>520</v>
      </c>
      <c r="K46" s="1">
        <f t="shared" si="40"/>
        <v>10</v>
      </c>
      <c r="L46" s="1">
        <f t="shared" si="46"/>
        <v>225</v>
      </c>
      <c r="M46" s="7">
        <f t="shared" si="41"/>
        <v>30</v>
      </c>
      <c r="N46" s="7">
        <f t="shared" si="47"/>
        <v>680</v>
      </c>
      <c r="O46" s="7">
        <f t="shared" si="42"/>
        <v>15</v>
      </c>
      <c r="P46" s="7">
        <f t="shared" si="48"/>
        <v>365</v>
      </c>
    </row>
    <row r="47">
      <c r="B47" s="4">
        <v>34.0</v>
      </c>
      <c r="D47" s="112" t="s">
        <v>357</v>
      </c>
      <c r="E47" s="2">
        <v>10.0</v>
      </c>
      <c r="F47" s="7">
        <f t="shared" ref="F47:G47" si="53">F46-1</f>
        <v>31</v>
      </c>
      <c r="G47" s="7">
        <f t="shared" si="53"/>
        <v>56</v>
      </c>
      <c r="H47" s="1" t="str">
        <f t="shared" si="44"/>
        <v>+58</v>
      </c>
      <c r="I47" s="4">
        <v>25.0</v>
      </c>
      <c r="J47" s="1">
        <f t="shared" si="45"/>
        <v>545</v>
      </c>
      <c r="K47" s="1">
        <f t="shared" si="40"/>
        <v>10</v>
      </c>
      <c r="L47" s="1">
        <f t="shared" si="46"/>
        <v>235</v>
      </c>
      <c r="M47" s="7">
        <f t="shared" si="41"/>
        <v>30</v>
      </c>
      <c r="N47" s="7">
        <f t="shared" si="47"/>
        <v>710</v>
      </c>
      <c r="O47" s="7">
        <f t="shared" si="42"/>
        <v>15</v>
      </c>
      <c r="P47" s="7">
        <f t="shared" si="48"/>
        <v>380</v>
      </c>
    </row>
    <row r="48">
      <c r="B48" s="4">
        <v>35.0</v>
      </c>
      <c r="C48" s="2" t="s">
        <v>496</v>
      </c>
      <c r="D48" s="112" t="s">
        <v>357</v>
      </c>
      <c r="E48" s="2">
        <v>10.0</v>
      </c>
      <c r="F48" s="7">
        <f t="shared" ref="F48:G48" si="54">F47-1</f>
        <v>30</v>
      </c>
      <c r="G48" s="7">
        <f t="shared" si="54"/>
        <v>55</v>
      </c>
      <c r="H48" s="1" t="str">
        <f t="shared" si="44"/>
        <v>+60</v>
      </c>
      <c r="I48" s="4">
        <v>25.0</v>
      </c>
      <c r="J48" s="1">
        <f t="shared" si="45"/>
        <v>570</v>
      </c>
      <c r="K48" s="1">
        <f t="shared" si="40"/>
        <v>10</v>
      </c>
      <c r="L48" s="1">
        <f t="shared" si="46"/>
        <v>245</v>
      </c>
      <c r="M48" s="7">
        <f t="shared" si="41"/>
        <v>30</v>
      </c>
      <c r="N48" s="7">
        <f t="shared" si="47"/>
        <v>740</v>
      </c>
      <c r="O48" s="7">
        <f t="shared" si="42"/>
        <v>15</v>
      </c>
      <c r="P48" s="7">
        <f t="shared" si="48"/>
        <v>395</v>
      </c>
    </row>
    <row r="49">
      <c r="B49" s="4">
        <v>36.0</v>
      </c>
      <c r="D49" s="112" t="s">
        <v>357</v>
      </c>
      <c r="E49" s="2">
        <v>10.0</v>
      </c>
      <c r="F49" s="7">
        <f t="shared" ref="F49:G49" si="55">F48-1</f>
        <v>29</v>
      </c>
      <c r="G49" s="7">
        <f t="shared" si="55"/>
        <v>54</v>
      </c>
      <c r="H49" s="1" t="str">
        <f t="shared" si="44"/>
        <v>+62</v>
      </c>
      <c r="I49" s="4">
        <v>30.0</v>
      </c>
      <c r="J49" s="1">
        <f t="shared" si="45"/>
        <v>600</v>
      </c>
      <c r="K49" s="1">
        <f t="shared" si="40"/>
        <v>15</v>
      </c>
      <c r="L49" s="1">
        <f t="shared" si="46"/>
        <v>260</v>
      </c>
      <c r="M49" s="7">
        <f t="shared" si="41"/>
        <v>35</v>
      </c>
      <c r="N49" s="7">
        <f t="shared" si="47"/>
        <v>775</v>
      </c>
      <c r="O49" s="7">
        <f t="shared" si="42"/>
        <v>20</v>
      </c>
      <c r="P49" s="7">
        <f t="shared" si="48"/>
        <v>415</v>
      </c>
    </row>
    <row r="50">
      <c r="B50" s="4">
        <v>37.0</v>
      </c>
      <c r="D50" s="112" t="s">
        <v>357</v>
      </c>
      <c r="E50" s="2">
        <v>10.0</v>
      </c>
      <c r="F50" s="7">
        <f t="shared" ref="F50:G50" si="56">F49-1</f>
        <v>28</v>
      </c>
      <c r="G50" s="7">
        <f t="shared" si="56"/>
        <v>53</v>
      </c>
      <c r="H50" s="1" t="str">
        <f t="shared" si="44"/>
        <v>+64</v>
      </c>
      <c r="I50" s="4">
        <v>30.0</v>
      </c>
      <c r="J50" s="1">
        <f t="shared" si="45"/>
        <v>630</v>
      </c>
      <c r="K50" s="1">
        <f t="shared" si="40"/>
        <v>15</v>
      </c>
      <c r="L50" s="1">
        <f t="shared" si="46"/>
        <v>275</v>
      </c>
      <c r="M50" s="7">
        <f t="shared" si="41"/>
        <v>35</v>
      </c>
      <c r="N50" s="7">
        <f t="shared" si="47"/>
        <v>810</v>
      </c>
      <c r="O50" s="7">
        <f t="shared" si="42"/>
        <v>20</v>
      </c>
      <c r="P50" s="7">
        <f t="shared" si="48"/>
        <v>435</v>
      </c>
    </row>
    <row r="51">
      <c r="B51" s="4">
        <v>38.0</v>
      </c>
      <c r="D51" s="112" t="s">
        <v>357</v>
      </c>
      <c r="E51" s="2">
        <v>10.0</v>
      </c>
      <c r="F51" s="7">
        <f t="shared" ref="F51:G51" si="57">F50-1</f>
        <v>27</v>
      </c>
      <c r="G51" s="7">
        <f t="shared" si="57"/>
        <v>52</v>
      </c>
      <c r="H51" s="1" t="str">
        <f t="shared" si="44"/>
        <v>+66</v>
      </c>
      <c r="I51" s="4">
        <v>30.0</v>
      </c>
      <c r="J51" s="1">
        <f t="shared" si="45"/>
        <v>660</v>
      </c>
      <c r="K51" s="1">
        <f t="shared" si="40"/>
        <v>15</v>
      </c>
      <c r="L51" s="1">
        <f t="shared" si="46"/>
        <v>290</v>
      </c>
      <c r="M51" s="7">
        <f t="shared" si="41"/>
        <v>35</v>
      </c>
      <c r="N51" s="7">
        <f t="shared" si="47"/>
        <v>845</v>
      </c>
      <c r="O51" s="7">
        <f t="shared" si="42"/>
        <v>20</v>
      </c>
      <c r="P51" s="7">
        <f t="shared" si="48"/>
        <v>455</v>
      </c>
    </row>
    <row r="52">
      <c r="B52" s="4">
        <v>39.0</v>
      </c>
      <c r="D52" s="112" t="s">
        <v>357</v>
      </c>
      <c r="E52" s="2">
        <v>10.0</v>
      </c>
      <c r="F52" s="7">
        <f t="shared" ref="F52:G52" si="58">F51-1</f>
        <v>26</v>
      </c>
      <c r="G52" s="7">
        <f t="shared" si="58"/>
        <v>51</v>
      </c>
      <c r="H52" s="1" t="str">
        <f t="shared" si="44"/>
        <v>+68</v>
      </c>
      <c r="I52" s="4">
        <v>30.0</v>
      </c>
      <c r="J52" s="1">
        <f t="shared" si="45"/>
        <v>690</v>
      </c>
      <c r="K52" s="1">
        <f t="shared" si="40"/>
        <v>15</v>
      </c>
      <c r="L52" s="1">
        <f t="shared" si="46"/>
        <v>305</v>
      </c>
      <c r="M52" s="7">
        <f t="shared" si="41"/>
        <v>35</v>
      </c>
      <c r="N52" s="7">
        <f t="shared" si="47"/>
        <v>880</v>
      </c>
      <c r="O52" s="7">
        <f t="shared" si="42"/>
        <v>20</v>
      </c>
      <c r="P52" s="7">
        <f t="shared" si="48"/>
        <v>475</v>
      </c>
    </row>
    <row r="53">
      <c r="B53" s="4">
        <v>40.0</v>
      </c>
      <c r="C53" s="2" t="s">
        <v>539</v>
      </c>
      <c r="D53" s="112" t="s">
        <v>357</v>
      </c>
      <c r="E53" s="2">
        <v>10.0</v>
      </c>
      <c r="F53" s="7">
        <f t="shared" ref="F53:G53" si="59">F52-1</f>
        <v>25</v>
      </c>
      <c r="G53" s="7">
        <f t="shared" si="59"/>
        <v>50</v>
      </c>
      <c r="H53" s="1" t="str">
        <f t="shared" si="44"/>
        <v>+70</v>
      </c>
      <c r="I53" s="4">
        <v>30.0</v>
      </c>
      <c r="J53" s="1">
        <f t="shared" si="45"/>
        <v>720</v>
      </c>
      <c r="K53" s="1">
        <f t="shared" si="40"/>
        <v>15</v>
      </c>
      <c r="L53" s="1">
        <f t="shared" si="46"/>
        <v>320</v>
      </c>
      <c r="M53" s="7">
        <f t="shared" si="41"/>
        <v>35</v>
      </c>
      <c r="N53" s="7">
        <f t="shared" si="47"/>
        <v>915</v>
      </c>
      <c r="O53" s="7">
        <f t="shared" si="42"/>
        <v>20</v>
      </c>
      <c r="P53" s="7">
        <f t="shared" si="48"/>
        <v>495</v>
      </c>
    </row>
    <row r="54">
      <c r="B54" s="4"/>
      <c r="C54" s="2" t="s">
        <v>551</v>
      </c>
      <c r="D54" s="4"/>
      <c r="E54" s="4"/>
      <c r="F54" s="4"/>
      <c r="G54" s="4"/>
      <c r="H54" s="1" t="str">
        <f>CONCATENATE("+",VALUE(H53+5))</f>
        <v>+75</v>
      </c>
      <c r="I54" s="4"/>
      <c r="J54" s="4"/>
      <c r="K54" s="4"/>
      <c r="L54" s="4"/>
    </row>
    <row r="55">
      <c r="B55" s="4"/>
      <c r="C55" s="2"/>
      <c r="D55" s="4"/>
      <c r="E55" s="4"/>
      <c r="F55" s="4"/>
      <c r="G55" s="4"/>
      <c r="H55" s="4"/>
      <c r="I55" s="4"/>
      <c r="J55" s="4"/>
      <c r="K55" s="4"/>
      <c r="L55" s="4"/>
    </row>
    <row r="56">
      <c r="B56" s="4"/>
      <c r="C56" s="160" t="s">
        <v>560</v>
      </c>
    </row>
    <row r="57">
      <c r="B57" s="4">
        <v>41.0</v>
      </c>
      <c r="C57" s="2" t="s">
        <v>563</v>
      </c>
      <c r="D57" s="112" t="s">
        <v>357</v>
      </c>
      <c r="E57" s="2">
        <v>10.0</v>
      </c>
      <c r="F57" s="2">
        <v>24.0</v>
      </c>
      <c r="G57" s="2">
        <v>49.0</v>
      </c>
      <c r="H57" s="1" t="str">
        <f>CONCATENATE("+",VALUE(H54+3))</f>
        <v>+78</v>
      </c>
      <c r="I57" s="4">
        <v>35.0</v>
      </c>
      <c r="J57" s="1">
        <f>I57+J53</f>
        <v>755</v>
      </c>
      <c r="K57" s="1">
        <f>max(I57-20,5)</f>
        <v>15</v>
      </c>
      <c r="L57" s="1">
        <f>K57+L53</f>
        <v>335</v>
      </c>
      <c r="M57" s="7">
        <f>I57+10</f>
        <v>45</v>
      </c>
      <c r="N57" s="7">
        <f>M57+N53</f>
        <v>960</v>
      </c>
      <c r="O57" s="7">
        <f>M57-20</f>
        <v>25</v>
      </c>
      <c r="P57" s="7">
        <f>O57+P53</f>
        <v>520</v>
      </c>
    </row>
    <row r="58">
      <c r="B58" s="4"/>
      <c r="C58" s="2" t="s">
        <v>571</v>
      </c>
      <c r="D58" s="112"/>
      <c r="E58" s="2"/>
      <c r="H58" s="1"/>
      <c r="I58" s="4"/>
      <c r="J58" s="1"/>
      <c r="K58" s="1"/>
      <c r="L58" s="1"/>
    </row>
    <row r="59">
      <c r="B59" s="4">
        <v>42.0</v>
      </c>
      <c r="D59" s="112" t="s">
        <v>357</v>
      </c>
      <c r="E59" s="2">
        <v>9.0</v>
      </c>
      <c r="F59" s="7">
        <f t="shared" ref="F59:G59" si="60">F57-1</f>
        <v>23</v>
      </c>
      <c r="G59" s="7">
        <f t="shared" si="60"/>
        <v>48</v>
      </c>
      <c r="H59" s="1" t="str">
        <f>CONCATENATE("+",VALUE(H57+3))</f>
        <v>+81</v>
      </c>
      <c r="I59" s="4">
        <v>35.0</v>
      </c>
      <c r="J59" s="1">
        <f>I59+J57</f>
        <v>790</v>
      </c>
      <c r="K59" s="1">
        <f t="shared" ref="K59:K67" si="62">max(I59-20,5)</f>
        <v>15</v>
      </c>
      <c r="L59" s="1">
        <f>K59+L57</f>
        <v>350</v>
      </c>
      <c r="M59" s="7">
        <f t="shared" ref="M59:M67" si="63">I59+10</f>
        <v>45</v>
      </c>
      <c r="N59" s="7">
        <f>M59+N57</f>
        <v>1005</v>
      </c>
      <c r="O59" s="7">
        <f t="shared" ref="O59:O67" si="64">M59-20</f>
        <v>25</v>
      </c>
      <c r="P59" s="7">
        <f>O59+P57</f>
        <v>545</v>
      </c>
    </row>
    <row r="60">
      <c r="B60" s="4">
        <v>43.0</v>
      </c>
      <c r="D60" s="112" t="s">
        <v>357</v>
      </c>
      <c r="E60" s="2">
        <v>8.0</v>
      </c>
      <c r="F60" s="7">
        <f t="shared" ref="F60:G60" si="61">F59-1</f>
        <v>22</v>
      </c>
      <c r="G60" s="7">
        <f t="shared" si="61"/>
        <v>47</v>
      </c>
      <c r="H60" s="1" t="str">
        <f t="shared" ref="H60:H67" si="66">CONCATENATE("+",VALUE(H59+3))</f>
        <v>+84</v>
      </c>
      <c r="I60" s="4">
        <v>35.0</v>
      </c>
      <c r="J60" s="1">
        <f t="shared" ref="J60:J67" si="67">I60+J59</f>
        <v>825</v>
      </c>
      <c r="K60" s="1">
        <f t="shared" si="62"/>
        <v>15</v>
      </c>
      <c r="L60" s="1">
        <f t="shared" ref="L60:L67" si="68">K60+L59</f>
        <v>365</v>
      </c>
      <c r="M60" s="7">
        <f t="shared" si="63"/>
        <v>45</v>
      </c>
      <c r="N60" s="7">
        <f t="shared" ref="N60:N67" si="69">M60+N59</f>
        <v>1050</v>
      </c>
      <c r="O60" s="7">
        <f t="shared" si="64"/>
        <v>25</v>
      </c>
      <c r="P60" s="7">
        <f t="shared" ref="P60:P67" si="70">O60+P59</f>
        <v>570</v>
      </c>
    </row>
    <row r="61">
      <c r="B61" s="4">
        <v>44.0</v>
      </c>
      <c r="D61" s="112" t="s">
        <v>357</v>
      </c>
      <c r="E61" s="2">
        <v>7.0</v>
      </c>
      <c r="F61" s="7">
        <f t="shared" ref="F61:G61" si="65">F60-1</f>
        <v>21</v>
      </c>
      <c r="G61" s="7">
        <f t="shared" si="65"/>
        <v>46</v>
      </c>
      <c r="H61" s="1" t="str">
        <f t="shared" si="66"/>
        <v>+87</v>
      </c>
      <c r="I61" s="4">
        <v>35.0</v>
      </c>
      <c r="J61" s="1">
        <f t="shared" si="67"/>
        <v>860</v>
      </c>
      <c r="K61" s="1">
        <f t="shared" si="62"/>
        <v>15</v>
      </c>
      <c r="L61" s="1">
        <f t="shared" si="68"/>
        <v>380</v>
      </c>
      <c r="M61" s="7">
        <f t="shared" si="63"/>
        <v>45</v>
      </c>
      <c r="N61" s="7">
        <f t="shared" si="69"/>
        <v>1095</v>
      </c>
      <c r="O61" s="7">
        <f t="shared" si="64"/>
        <v>25</v>
      </c>
      <c r="P61" s="7">
        <f t="shared" si="70"/>
        <v>595</v>
      </c>
    </row>
    <row r="62">
      <c r="B62" s="4">
        <v>45.0</v>
      </c>
      <c r="C62" s="2" t="s">
        <v>572</v>
      </c>
      <c r="D62" s="112" t="s">
        <v>357</v>
      </c>
      <c r="E62" s="2">
        <v>6.0</v>
      </c>
      <c r="F62" s="7">
        <f t="shared" ref="F62:G62" si="71">F61-1</f>
        <v>20</v>
      </c>
      <c r="G62" s="7">
        <f t="shared" si="71"/>
        <v>45</v>
      </c>
      <c r="H62" s="1" t="str">
        <f t="shared" si="66"/>
        <v>+90</v>
      </c>
      <c r="I62" s="4">
        <v>35.0</v>
      </c>
      <c r="J62" s="1">
        <f t="shared" si="67"/>
        <v>895</v>
      </c>
      <c r="K62" s="1">
        <f t="shared" si="62"/>
        <v>15</v>
      </c>
      <c r="L62" s="1">
        <f t="shared" si="68"/>
        <v>395</v>
      </c>
      <c r="M62" s="7">
        <f t="shared" si="63"/>
        <v>45</v>
      </c>
      <c r="N62" s="7">
        <f t="shared" si="69"/>
        <v>1140</v>
      </c>
      <c r="O62" s="7">
        <f t="shared" si="64"/>
        <v>25</v>
      </c>
      <c r="P62" s="7">
        <f t="shared" si="70"/>
        <v>620</v>
      </c>
    </row>
    <row r="63">
      <c r="B63" s="4">
        <v>46.0</v>
      </c>
      <c r="D63" s="112" t="s">
        <v>357</v>
      </c>
      <c r="E63" s="2">
        <v>5.0</v>
      </c>
      <c r="F63" s="7">
        <f t="shared" ref="F63:G63" si="72">F62-1</f>
        <v>19</v>
      </c>
      <c r="G63" s="7">
        <f t="shared" si="72"/>
        <v>44</v>
      </c>
      <c r="H63" s="1" t="str">
        <f t="shared" si="66"/>
        <v>+93</v>
      </c>
      <c r="I63" s="4">
        <v>40.0</v>
      </c>
      <c r="J63" s="1">
        <f t="shared" si="67"/>
        <v>935</v>
      </c>
      <c r="K63" s="1">
        <f t="shared" si="62"/>
        <v>20</v>
      </c>
      <c r="L63" s="1">
        <f t="shared" si="68"/>
        <v>415</v>
      </c>
      <c r="M63" s="7">
        <f t="shared" si="63"/>
        <v>50</v>
      </c>
      <c r="N63" s="7">
        <f t="shared" si="69"/>
        <v>1190</v>
      </c>
      <c r="O63" s="7">
        <f t="shared" si="64"/>
        <v>30</v>
      </c>
      <c r="P63" s="7">
        <f t="shared" si="70"/>
        <v>650</v>
      </c>
    </row>
    <row r="64">
      <c r="B64" s="4">
        <v>47.0</v>
      </c>
      <c r="D64" s="112" t="s">
        <v>357</v>
      </c>
      <c r="E64" s="2">
        <v>5.0</v>
      </c>
      <c r="F64" s="7">
        <f t="shared" ref="F64:G64" si="73">F63-1</f>
        <v>18</v>
      </c>
      <c r="G64" s="7">
        <f t="shared" si="73"/>
        <v>43</v>
      </c>
      <c r="H64" s="1" t="str">
        <f t="shared" si="66"/>
        <v>+96</v>
      </c>
      <c r="I64" s="4">
        <v>40.0</v>
      </c>
      <c r="J64" s="1">
        <f t="shared" si="67"/>
        <v>975</v>
      </c>
      <c r="K64" s="1">
        <f t="shared" si="62"/>
        <v>20</v>
      </c>
      <c r="L64" s="1">
        <f t="shared" si="68"/>
        <v>435</v>
      </c>
      <c r="M64" s="7">
        <f t="shared" si="63"/>
        <v>50</v>
      </c>
      <c r="N64" s="7">
        <f t="shared" si="69"/>
        <v>1240</v>
      </c>
      <c r="O64" s="7">
        <f t="shared" si="64"/>
        <v>30</v>
      </c>
      <c r="P64" s="7">
        <f t="shared" si="70"/>
        <v>680</v>
      </c>
    </row>
    <row r="65">
      <c r="B65" s="4">
        <v>48.0</v>
      </c>
      <c r="D65" s="112" t="s">
        <v>357</v>
      </c>
      <c r="E65" s="2">
        <v>5.0</v>
      </c>
      <c r="F65" s="7">
        <f t="shared" ref="F65:G65" si="74">F64-1</f>
        <v>17</v>
      </c>
      <c r="G65" s="7">
        <f t="shared" si="74"/>
        <v>42</v>
      </c>
      <c r="H65" s="1" t="str">
        <f t="shared" si="66"/>
        <v>+99</v>
      </c>
      <c r="I65" s="4">
        <v>40.0</v>
      </c>
      <c r="J65" s="1">
        <f t="shared" si="67"/>
        <v>1015</v>
      </c>
      <c r="K65" s="1">
        <f t="shared" si="62"/>
        <v>20</v>
      </c>
      <c r="L65" s="1">
        <f t="shared" si="68"/>
        <v>455</v>
      </c>
      <c r="M65" s="7">
        <f t="shared" si="63"/>
        <v>50</v>
      </c>
      <c r="N65" s="7">
        <f t="shared" si="69"/>
        <v>1290</v>
      </c>
      <c r="O65" s="7">
        <f t="shared" si="64"/>
        <v>30</v>
      </c>
      <c r="P65" s="7">
        <f t="shared" si="70"/>
        <v>710</v>
      </c>
    </row>
    <row r="66">
      <c r="B66" s="4">
        <v>49.0</v>
      </c>
      <c r="D66" s="112" t="s">
        <v>357</v>
      </c>
      <c r="E66" s="2">
        <v>5.0</v>
      </c>
      <c r="F66" s="7">
        <f t="shared" ref="F66:G66" si="75">F65-1</f>
        <v>16</v>
      </c>
      <c r="G66" s="7">
        <f t="shared" si="75"/>
        <v>41</v>
      </c>
      <c r="H66" s="1" t="str">
        <f t="shared" si="66"/>
        <v>+102</v>
      </c>
      <c r="I66" s="4">
        <v>40.0</v>
      </c>
      <c r="J66" s="1">
        <f t="shared" si="67"/>
        <v>1055</v>
      </c>
      <c r="K66" s="1">
        <f t="shared" si="62"/>
        <v>20</v>
      </c>
      <c r="L66" s="1">
        <f t="shared" si="68"/>
        <v>475</v>
      </c>
      <c r="M66" s="7">
        <f t="shared" si="63"/>
        <v>50</v>
      </c>
      <c r="N66" s="7">
        <f t="shared" si="69"/>
        <v>1340</v>
      </c>
      <c r="O66" s="7">
        <f t="shared" si="64"/>
        <v>30</v>
      </c>
      <c r="P66" s="7">
        <f t="shared" si="70"/>
        <v>740</v>
      </c>
    </row>
    <row r="67">
      <c r="B67" s="4">
        <v>50.0</v>
      </c>
      <c r="C67" s="2" t="s">
        <v>573</v>
      </c>
      <c r="D67" s="112" t="s">
        <v>357</v>
      </c>
      <c r="E67" s="2">
        <v>5.0</v>
      </c>
      <c r="F67" s="7">
        <f t="shared" ref="F67:G67" si="76">F66-1</f>
        <v>15</v>
      </c>
      <c r="G67" s="7">
        <f t="shared" si="76"/>
        <v>40</v>
      </c>
      <c r="H67" s="1" t="str">
        <f t="shared" si="66"/>
        <v>+105</v>
      </c>
      <c r="I67" s="4">
        <v>40.0</v>
      </c>
      <c r="J67" s="1">
        <f t="shared" si="67"/>
        <v>1095</v>
      </c>
      <c r="K67" s="1">
        <f t="shared" si="62"/>
        <v>20</v>
      </c>
      <c r="L67" s="1">
        <f t="shared" si="68"/>
        <v>495</v>
      </c>
      <c r="M67" s="7">
        <f t="shared" si="63"/>
        <v>50</v>
      </c>
      <c r="N67" s="7">
        <f t="shared" si="69"/>
        <v>1390</v>
      </c>
      <c r="O67" s="7">
        <f t="shared" si="64"/>
        <v>30</v>
      </c>
      <c r="P67" s="7">
        <f t="shared" si="70"/>
        <v>770</v>
      </c>
    </row>
    <row r="68">
      <c r="B68" s="1"/>
      <c r="C68" s="61" t="s">
        <v>574</v>
      </c>
      <c r="H68" s="1" t="str">
        <f>CONCATENATE("+",VALUE(H67+20))</f>
        <v>+125</v>
      </c>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row r="1002">
      <c r="B1002" s="1"/>
    </row>
    <row r="1003">
      <c r="B1003" s="1"/>
    </row>
    <row r="1004">
      <c r="B1004" s="1"/>
    </row>
    <row r="1005">
      <c r="B1005" s="1"/>
    </row>
    <row r="1006">
      <c r="B1006" s="1"/>
    </row>
    <row r="1007">
      <c r="B1007" s="1"/>
    </row>
    <row r="1008">
      <c r="B1008" s="1"/>
    </row>
    <row r="1009">
      <c r="B1009" s="1"/>
    </row>
    <row r="1010">
      <c r="B1010" s="1"/>
    </row>
    <row r="1011">
      <c r="B1011" s="1"/>
    </row>
  </sheetData>
  <mergeCells count="3">
    <mergeCell ref="C19:L19"/>
    <mergeCell ref="C37:L37"/>
    <mergeCell ref="C56:L5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4.13"/>
  </cols>
  <sheetData>
    <row r="3">
      <c r="B3" s="6" t="s">
        <v>27</v>
      </c>
    </row>
    <row r="4">
      <c r="B4" s="6" t="s">
        <v>34</v>
      </c>
      <c r="C4" s="2" t="s">
        <v>35</v>
      </c>
      <c r="H4" s="10" t="s">
        <v>36</v>
      </c>
      <c r="O4" s="14" t="s">
        <v>38</v>
      </c>
      <c r="P4" s="17" t="s">
        <v>43</v>
      </c>
      <c r="Q4" s="19"/>
      <c r="R4" s="19"/>
      <c r="S4" s="19"/>
      <c r="T4" s="19"/>
      <c r="U4" s="19"/>
      <c r="V4" s="22"/>
    </row>
    <row r="5">
      <c r="B5" s="6" t="s">
        <v>48</v>
      </c>
      <c r="C5" s="2" t="s">
        <v>50</v>
      </c>
      <c r="H5" s="24" t="s">
        <v>53</v>
      </c>
      <c r="I5" s="24" t="s">
        <v>56</v>
      </c>
      <c r="K5" s="6" t="s">
        <v>58</v>
      </c>
      <c r="L5" s="6" t="s">
        <v>60</v>
      </c>
      <c r="M5" s="6" t="s">
        <v>62</v>
      </c>
      <c r="O5" s="25"/>
      <c r="P5" s="26"/>
      <c r="Q5" s="26"/>
      <c r="R5" s="26"/>
      <c r="S5" s="27" t="s">
        <v>73</v>
      </c>
      <c r="T5" s="26"/>
      <c r="U5" s="26"/>
      <c r="V5" s="28"/>
    </row>
    <row r="6">
      <c r="B6" s="29"/>
      <c r="G6" s="30" t="s">
        <v>80</v>
      </c>
      <c r="H6" s="31" t="s">
        <v>84</v>
      </c>
      <c r="I6" s="32"/>
      <c r="J6" s="33" t="s">
        <v>89</v>
      </c>
      <c r="K6" s="34" t="s">
        <v>93</v>
      </c>
      <c r="L6" s="35" t="s">
        <v>37</v>
      </c>
      <c r="M6" s="36" t="s">
        <v>99</v>
      </c>
      <c r="O6" s="25"/>
      <c r="P6" s="26"/>
      <c r="Q6" s="26"/>
      <c r="R6" s="26"/>
      <c r="S6" s="37" t="s">
        <v>101</v>
      </c>
      <c r="T6" s="26"/>
      <c r="U6" s="26"/>
      <c r="V6" s="28"/>
    </row>
    <row r="7">
      <c r="B7" s="6" t="s">
        <v>104</v>
      </c>
      <c r="C7" s="2" t="s">
        <v>106</v>
      </c>
      <c r="G7" s="38">
        <v>30.0</v>
      </c>
      <c r="H7" s="39" t="str">
        <f>"1-1-1-1-1"</f>
        <v>1-1-1-1-1</v>
      </c>
      <c r="I7" s="40"/>
      <c r="K7" s="41"/>
      <c r="L7" s="41"/>
      <c r="M7" s="41"/>
      <c r="O7" s="42"/>
      <c r="P7" s="26"/>
      <c r="Q7" s="26"/>
      <c r="R7" s="26"/>
      <c r="S7" s="37" t="s">
        <v>114</v>
      </c>
      <c r="T7" s="26"/>
      <c r="U7" s="26"/>
      <c r="V7" s="28"/>
    </row>
    <row r="8">
      <c r="B8" s="6" t="s">
        <v>115</v>
      </c>
      <c r="C8" s="7" t="str">
        <f>"+20 Max Level"</f>
        <v>+20 Max Level</v>
      </c>
      <c r="G8" s="30" t="s">
        <v>111</v>
      </c>
      <c r="H8" s="31" t="s">
        <v>118</v>
      </c>
      <c r="I8" s="44" t="s">
        <v>120</v>
      </c>
      <c r="J8" s="43" t="s">
        <v>113</v>
      </c>
      <c r="K8" s="45" t="s">
        <v>124</v>
      </c>
      <c r="L8" s="46" t="s">
        <v>130</v>
      </c>
      <c r="M8" s="45" t="s">
        <v>131</v>
      </c>
      <c r="O8" s="48" t="s">
        <v>132</v>
      </c>
      <c r="P8" s="49" t="s">
        <v>133</v>
      </c>
      <c r="Q8" s="50"/>
      <c r="R8" s="51" t="s">
        <v>134</v>
      </c>
      <c r="S8" s="50"/>
      <c r="T8" s="52" t="s">
        <v>135</v>
      </c>
      <c r="U8" s="50"/>
      <c r="V8" s="28"/>
    </row>
    <row r="9">
      <c r="B9" s="29"/>
      <c r="G9" s="38">
        <v>80.0</v>
      </c>
      <c r="H9" s="39" t="str">
        <f>"10-10-10-5-5"</f>
        <v>10-10-10-5-5</v>
      </c>
      <c r="I9" s="53" t="str">
        <f>"10-3-1-1-25"</f>
        <v>10-3-1-1-25</v>
      </c>
      <c r="J9" s="41"/>
      <c r="K9" s="41"/>
      <c r="L9" s="41"/>
      <c r="M9" s="41"/>
      <c r="O9" s="54"/>
      <c r="P9" s="55" t="s">
        <v>136</v>
      </c>
      <c r="Q9" s="50"/>
      <c r="R9" s="56" t="s">
        <v>138</v>
      </c>
      <c r="S9" s="50"/>
      <c r="T9" s="57" t="s">
        <v>143</v>
      </c>
      <c r="U9" s="50"/>
      <c r="V9" s="28"/>
    </row>
    <row r="10">
      <c r="B10" s="6" t="s">
        <v>144</v>
      </c>
      <c r="C10" s="2" t="s">
        <v>145</v>
      </c>
      <c r="G10" s="30" t="s">
        <v>125</v>
      </c>
      <c r="H10" s="31" t="s">
        <v>146</v>
      </c>
      <c r="I10" s="44" t="s">
        <v>147</v>
      </c>
      <c r="J10" s="43" t="s">
        <v>128</v>
      </c>
      <c r="K10" s="34" t="s">
        <v>148</v>
      </c>
      <c r="L10" s="46" t="s">
        <v>149</v>
      </c>
      <c r="M10" s="36" t="s">
        <v>151</v>
      </c>
      <c r="O10" s="54"/>
      <c r="P10" s="58" t="s">
        <v>152</v>
      </c>
      <c r="Q10" s="50"/>
      <c r="R10" s="59" t="s">
        <v>153</v>
      </c>
      <c r="S10" s="50"/>
      <c r="T10" s="60" t="s">
        <v>154</v>
      </c>
      <c r="U10" s="50"/>
      <c r="V10" s="28"/>
    </row>
    <row r="11">
      <c r="B11" s="29"/>
      <c r="C11" s="2" t="s">
        <v>156</v>
      </c>
      <c r="G11" s="38">
        <v>140.0</v>
      </c>
      <c r="H11" s="39" t="str">
        <f>"25-25-25-5-5"</f>
        <v>25-25-25-5-5</v>
      </c>
      <c r="I11" s="53" t="str">
        <f>"10-10-10-1-40"</f>
        <v>10-10-10-1-40</v>
      </c>
      <c r="J11" s="41"/>
      <c r="K11" s="41"/>
      <c r="L11" s="41"/>
      <c r="M11" s="41"/>
      <c r="O11" s="62"/>
      <c r="P11" s="64" t="s">
        <v>165</v>
      </c>
      <c r="Q11" s="50"/>
      <c r="R11" s="65" t="s">
        <v>168</v>
      </c>
      <c r="S11" s="50"/>
      <c r="T11" s="66" t="s">
        <v>169</v>
      </c>
      <c r="U11" s="50"/>
      <c r="V11" s="28"/>
    </row>
    <row r="12">
      <c r="B12" s="29"/>
      <c r="G12" s="30" t="s">
        <v>140</v>
      </c>
      <c r="H12" s="31" t="s">
        <v>170</v>
      </c>
      <c r="I12" s="44" t="s">
        <v>171</v>
      </c>
      <c r="J12" s="43" t="s">
        <v>142</v>
      </c>
      <c r="K12" s="45" t="s">
        <v>172</v>
      </c>
      <c r="L12" s="46" t="s">
        <v>173</v>
      </c>
      <c r="M12" s="45" t="s">
        <v>174</v>
      </c>
      <c r="O12" s="67" t="s">
        <v>175</v>
      </c>
      <c r="P12" s="68" t="s">
        <v>176</v>
      </c>
      <c r="Q12" s="69" t="s">
        <v>179</v>
      </c>
      <c r="R12" s="70" t="s">
        <v>184</v>
      </c>
      <c r="S12" s="70" t="s">
        <v>186</v>
      </c>
      <c r="T12" s="71" t="s">
        <v>188</v>
      </c>
      <c r="U12" s="71" t="s">
        <v>189</v>
      </c>
      <c r="V12" s="72" t="s">
        <v>190</v>
      </c>
    </row>
    <row r="13">
      <c r="B13" s="6" t="s">
        <v>191</v>
      </c>
      <c r="C13" s="2" t="s">
        <v>192</v>
      </c>
      <c r="G13" s="38">
        <v>220.0</v>
      </c>
      <c r="H13" s="39" t="str">
        <f>"35-30-30-10-10"</f>
        <v>35-30-30-10-10</v>
      </c>
      <c r="I13" s="53" t="str">
        <f>"28-10-10-5-50"</f>
        <v>28-10-10-5-50</v>
      </c>
      <c r="J13" s="41"/>
      <c r="K13" s="41"/>
      <c r="L13" s="41"/>
      <c r="M13" s="41"/>
      <c r="O13" s="54"/>
      <c r="P13" s="73" t="s">
        <v>193</v>
      </c>
      <c r="Q13" s="73" t="s">
        <v>196</v>
      </c>
      <c r="R13" s="74" t="s">
        <v>197</v>
      </c>
      <c r="S13" s="74" t="s">
        <v>199</v>
      </c>
      <c r="T13" s="75" t="s">
        <v>200</v>
      </c>
      <c r="U13" s="75" t="s">
        <v>202</v>
      </c>
      <c r="V13" s="76" t="s">
        <v>206</v>
      </c>
    </row>
    <row r="14">
      <c r="C14" s="2" t="s">
        <v>211</v>
      </c>
      <c r="G14" s="30" t="s">
        <v>159</v>
      </c>
      <c r="H14" s="31" t="s">
        <v>216</v>
      </c>
      <c r="I14" s="44" t="s">
        <v>220</v>
      </c>
      <c r="J14" s="43" t="s">
        <v>162</v>
      </c>
      <c r="K14" s="78" t="s">
        <v>222</v>
      </c>
      <c r="L14" s="43" t="s">
        <v>225</v>
      </c>
      <c r="M14" s="45" t="s">
        <v>228</v>
      </c>
      <c r="O14" s="54"/>
      <c r="P14" s="79" t="s">
        <v>233</v>
      </c>
      <c r="Q14" s="80" t="s">
        <v>236</v>
      </c>
      <c r="R14" s="81" t="s">
        <v>240</v>
      </c>
      <c r="S14" s="82" t="s">
        <v>243</v>
      </c>
      <c r="T14" s="83" t="s">
        <v>246</v>
      </c>
      <c r="U14" s="84" t="s">
        <v>240</v>
      </c>
      <c r="V14" s="85" t="s">
        <v>251</v>
      </c>
    </row>
    <row r="15">
      <c r="G15" s="38">
        <v>300.0</v>
      </c>
      <c r="H15" s="39" t="str">
        <f>"35-50-40-10-10"</f>
        <v>35-50-40-10-10</v>
      </c>
      <c r="I15" s="53" t="str">
        <f>"50-10-10-5-50"</f>
        <v>50-10-10-5-50</v>
      </c>
      <c r="J15" s="41"/>
      <c r="K15" s="41"/>
      <c r="L15" s="41"/>
      <c r="M15" s="41"/>
      <c r="O15" s="54"/>
      <c r="P15" s="69" t="s">
        <v>252</v>
      </c>
      <c r="Q15" s="69" t="s">
        <v>253</v>
      </c>
      <c r="R15" s="86" t="s">
        <v>254</v>
      </c>
      <c r="S15" s="87" t="s">
        <v>255</v>
      </c>
      <c r="T15" s="71" t="s">
        <v>256</v>
      </c>
      <c r="U15" s="71" t="s">
        <v>257</v>
      </c>
      <c r="V15" s="88" t="s">
        <v>258</v>
      </c>
    </row>
    <row r="16">
      <c r="O16" s="54"/>
      <c r="P16" s="73" t="s">
        <v>259</v>
      </c>
      <c r="Q16" s="73" t="s">
        <v>260</v>
      </c>
      <c r="R16" s="74" t="s">
        <v>261</v>
      </c>
      <c r="S16" s="74" t="s">
        <v>262</v>
      </c>
      <c r="T16" s="75" t="s">
        <v>263</v>
      </c>
      <c r="U16" s="75" t="s">
        <v>264</v>
      </c>
      <c r="V16" s="76" t="s">
        <v>265</v>
      </c>
    </row>
    <row r="17">
      <c r="B17" s="6" t="s">
        <v>266</v>
      </c>
      <c r="O17" s="62"/>
      <c r="P17" s="89" t="s">
        <v>240</v>
      </c>
      <c r="Q17" s="89" t="s">
        <v>267</v>
      </c>
      <c r="R17" s="90" t="s">
        <v>268</v>
      </c>
      <c r="S17" s="91" t="s">
        <v>269</v>
      </c>
      <c r="T17" s="92" t="s">
        <v>270</v>
      </c>
      <c r="U17" s="92" t="s">
        <v>271</v>
      </c>
      <c r="V17" s="93" t="s">
        <v>235</v>
      </c>
    </row>
    <row r="18">
      <c r="B18" s="94">
        <v>0.0</v>
      </c>
      <c r="C18" s="95" t="s">
        <v>272</v>
      </c>
      <c r="D18" s="96" t="s">
        <v>273</v>
      </c>
      <c r="E18" s="97"/>
      <c r="G18" s="10" t="s">
        <v>274</v>
      </c>
      <c r="O18" s="98" t="s">
        <v>275</v>
      </c>
      <c r="P18" s="99" t="s">
        <v>277</v>
      </c>
      <c r="Q18" s="100" t="s">
        <v>278</v>
      </c>
      <c r="R18" s="101" t="s">
        <v>279</v>
      </c>
      <c r="S18" s="101" t="s">
        <v>280</v>
      </c>
      <c r="T18" s="102" t="s">
        <v>281</v>
      </c>
      <c r="U18" s="103" t="s">
        <v>283</v>
      </c>
      <c r="V18" s="104" t="s">
        <v>284</v>
      </c>
    </row>
    <row r="19">
      <c r="B19" s="94" t="s">
        <v>285</v>
      </c>
      <c r="C19" s="95" t="s">
        <v>286</v>
      </c>
      <c r="D19" s="96" t="s">
        <v>287</v>
      </c>
      <c r="E19" s="97"/>
      <c r="O19" s="54"/>
      <c r="P19" s="105" t="s">
        <v>288</v>
      </c>
      <c r="Q19" s="105" t="s">
        <v>289</v>
      </c>
      <c r="R19" s="106" t="s">
        <v>290</v>
      </c>
      <c r="S19" s="106" t="s">
        <v>291</v>
      </c>
      <c r="T19" s="107" t="s">
        <v>292</v>
      </c>
      <c r="U19" s="107" t="s">
        <v>293</v>
      </c>
      <c r="V19" s="108" t="s">
        <v>294</v>
      </c>
    </row>
    <row r="20">
      <c r="B20" s="94" t="s">
        <v>295</v>
      </c>
      <c r="C20" s="95" t="s">
        <v>296</v>
      </c>
      <c r="D20" s="96" t="s">
        <v>297</v>
      </c>
      <c r="E20" s="97"/>
      <c r="G20" s="6" t="s">
        <v>298</v>
      </c>
      <c r="O20" s="54"/>
      <c r="P20" s="99" t="s">
        <v>299</v>
      </c>
      <c r="Q20" s="100" t="s">
        <v>300</v>
      </c>
      <c r="R20" s="101" t="s">
        <v>301</v>
      </c>
      <c r="S20" s="109" t="s">
        <v>302</v>
      </c>
      <c r="T20" s="102" t="s">
        <v>303</v>
      </c>
      <c r="U20" s="103" t="s">
        <v>304</v>
      </c>
      <c r="V20" s="104" t="s">
        <v>305</v>
      </c>
    </row>
    <row r="21">
      <c r="B21" s="94" t="s">
        <v>306</v>
      </c>
      <c r="C21" s="95" t="s">
        <v>307</v>
      </c>
      <c r="D21" s="96" t="s">
        <v>308</v>
      </c>
      <c r="E21" s="97"/>
      <c r="G21" s="110" t="s">
        <v>309</v>
      </c>
      <c r="H21" s="2" t="s">
        <v>310</v>
      </c>
      <c r="J21" s="111" t="s">
        <v>311</v>
      </c>
      <c r="O21" s="62"/>
      <c r="P21" s="105" t="s">
        <v>312</v>
      </c>
      <c r="Q21" s="105" t="s">
        <v>313</v>
      </c>
      <c r="R21" s="106" t="s">
        <v>314</v>
      </c>
      <c r="S21" s="106" t="s">
        <v>315</v>
      </c>
      <c r="T21" s="107" t="s">
        <v>316</v>
      </c>
      <c r="U21" s="107" t="s">
        <v>317</v>
      </c>
      <c r="V21" s="108" t="s">
        <v>318</v>
      </c>
    </row>
    <row r="22">
      <c r="B22" s="113" t="s">
        <v>320</v>
      </c>
      <c r="C22" s="43" t="s">
        <v>321</v>
      </c>
      <c r="D22" s="114" t="s">
        <v>323</v>
      </c>
      <c r="E22" s="115"/>
      <c r="H22" s="116" t="s">
        <v>324</v>
      </c>
    </row>
    <row r="23">
      <c r="B23" s="117"/>
      <c r="C23" s="117"/>
      <c r="D23" s="118" t="s">
        <v>325</v>
      </c>
      <c r="E23" s="119"/>
      <c r="H23" s="2" t="s">
        <v>326</v>
      </c>
      <c r="J23" s="111" t="s">
        <v>327</v>
      </c>
    </row>
    <row r="24">
      <c r="B24" s="120"/>
      <c r="C24" s="120"/>
      <c r="D24" s="121" t="s">
        <v>330</v>
      </c>
      <c r="E24" s="122"/>
      <c r="H24" s="116" t="s">
        <v>331</v>
      </c>
      <c r="K24" s="2" t="s">
        <v>235</v>
      </c>
    </row>
    <row r="25">
      <c r="H25" s="2" t="s">
        <v>332</v>
      </c>
      <c r="J25" s="111" t="s">
        <v>333</v>
      </c>
    </row>
    <row r="26">
      <c r="B26" s="6" t="s">
        <v>334</v>
      </c>
      <c r="F26" s="2" t="s">
        <v>235</v>
      </c>
      <c r="H26" s="116" t="s">
        <v>335</v>
      </c>
      <c r="K26" s="2" t="s">
        <v>235</v>
      </c>
      <c r="O26" s="123" t="s">
        <v>336</v>
      </c>
      <c r="R26" s="123" t="s">
        <v>337</v>
      </c>
      <c r="U26" s="123" t="s">
        <v>338</v>
      </c>
    </row>
    <row r="27">
      <c r="B27" s="124" t="s">
        <v>339</v>
      </c>
      <c r="C27" s="125"/>
      <c r="D27" s="125"/>
      <c r="E27" s="125"/>
      <c r="F27" s="2" t="s">
        <v>235</v>
      </c>
    </row>
    <row r="28">
      <c r="B28" s="126" t="s">
        <v>341</v>
      </c>
      <c r="C28" s="127" t="s">
        <v>343</v>
      </c>
      <c r="F28" s="2" t="s">
        <v>235</v>
      </c>
      <c r="G28" s="6" t="s">
        <v>344</v>
      </c>
      <c r="N28" s="128" t="s">
        <v>345</v>
      </c>
      <c r="O28" s="129" t="s">
        <v>346</v>
      </c>
      <c r="Q28" s="2" t="s">
        <v>348</v>
      </c>
      <c r="R28" s="2" t="s">
        <v>349</v>
      </c>
      <c r="T28" s="2" t="s">
        <v>348</v>
      </c>
    </row>
    <row r="29">
      <c r="B29" s="130" t="s">
        <v>350</v>
      </c>
      <c r="C29" s="127" t="s">
        <v>352</v>
      </c>
      <c r="F29" s="2" t="s">
        <v>235</v>
      </c>
      <c r="G29" s="110" t="s">
        <v>309</v>
      </c>
      <c r="H29" s="2" t="s">
        <v>354</v>
      </c>
      <c r="J29" s="111" t="s">
        <v>311</v>
      </c>
      <c r="O29" s="132" t="s">
        <v>355</v>
      </c>
      <c r="P29" s="133"/>
      <c r="R29" s="2" t="s">
        <v>358</v>
      </c>
      <c r="T29" s="2" t="s">
        <v>348</v>
      </c>
      <c r="U29" s="2" t="s">
        <v>235</v>
      </c>
    </row>
    <row r="30">
      <c r="F30" s="2" t="s">
        <v>235</v>
      </c>
      <c r="H30" s="116" t="s">
        <v>359</v>
      </c>
      <c r="O30" s="134" t="s">
        <v>360</v>
      </c>
      <c r="Q30" s="2" t="s">
        <v>348</v>
      </c>
      <c r="R30" s="2" t="s">
        <v>361</v>
      </c>
      <c r="T30" s="2" t="s">
        <v>348</v>
      </c>
      <c r="U30" s="2" t="s">
        <v>235</v>
      </c>
    </row>
    <row r="31">
      <c r="B31" s="135" t="s">
        <v>362</v>
      </c>
      <c r="C31" s="136"/>
      <c r="D31" s="136"/>
      <c r="E31" s="136"/>
      <c r="F31" s="2" t="s">
        <v>235</v>
      </c>
      <c r="H31" s="2" t="s">
        <v>363</v>
      </c>
      <c r="J31" s="111" t="s">
        <v>327</v>
      </c>
      <c r="O31" s="132" t="s">
        <v>364</v>
      </c>
      <c r="P31" s="133"/>
      <c r="R31" s="2" t="s">
        <v>365</v>
      </c>
      <c r="T31" s="2" t="s">
        <v>348</v>
      </c>
      <c r="U31" s="2" t="s">
        <v>235</v>
      </c>
    </row>
    <row r="32">
      <c r="B32" s="126" t="s">
        <v>341</v>
      </c>
      <c r="C32" s="127" t="s">
        <v>366</v>
      </c>
      <c r="F32" s="2" t="s">
        <v>235</v>
      </c>
      <c r="H32" s="116" t="s">
        <v>367</v>
      </c>
      <c r="O32" s="137" t="s">
        <v>368</v>
      </c>
      <c r="P32" s="137"/>
      <c r="Q32" s="2" t="s">
        <v>369</v>
      </c>
      <c r="R32" s="2" t="s">
        <v>370</v>
      </c>
      <c r="T32" s="2" t="s">
        <v>369</v>
      </c>
      <c r="U32" s="2" t="s">
        <v>235</v>
      </c>
    </row>
    <row r="33">
      <c r="B33" s="130" t="s">
        <v>350</v>
      </c>
      <c r="C33" s="127" t="s">
        <v>371</v>
      </c>
      <c r="F33" s="2" t="s">
        <v>235</v>
      </c>
      <c r="H33" s="2" t="s">
        <v>372</v>
      </c>
      <c r="J33" s="111" t="s">
        <v>333</v>
      </c>
      <c r="O33" s="132" t="s">
        <v>373</v>
      </c>
      <c r="P33" s="133"/>
      <c r="R33" s="2" t="s">
        <v>374</v>
      </c>
      <c r="T33" s="2" t="s">
        <v>369</v>
      </c>
      <c r="U33" s="2" t="s">
        <v>235</v>
      </c>
    </row>
    <row r="34">
      <c r="H34" s="116" t="s">
        <v>375</v>
      </c>
      <c r="O34" s="137" t="s">
        <v>376</v>
      </c>
      <c r="P34" s="137"/>
      <c r="Q34" s="2" t="s">
        <v>369</v>
      </c>
      <c r="R34" s="2" t="s">
        <v>377</v>
      </c>
      <c r="T34" s="2" t="s">
        <v>369</v>
      </c>
      <c r="U34" s="2" t="s">
        <v>235</v>
      </c>
    </row>
    <row r="35">
      <c r="B35" s="138" t="s">
        <v>378</v>
      </c>
      <c r="C35" s="139"/>
      <c r="D35" s="139"/>
      <c r="E35" s="139"/>
      <c r="F35" s="2" t="s">
        <v>235</v>
      </c>
      <c r="O35" s="132" t="s">
        <v>379</v>
      </c>
      <c r="P35" s="133"/>
      <c r="R35" s="2" t="s">
        <v>380</v>
      </c>
      <c r="T35" s="2" t="s">
        <v>369</v>
      </c>
      <c r="U35" s="2" t="s">
        <v>235</v>
      </c>
    </row>
    <row r="36">
      <c r="B36" s="126" t="s">
        <v>341</v>
      </c>
      <c r="C36" s="137" t="s">
        <v>381</v>
      </c>
      <c r="F36" s="2" t="s">
        <v>235</v>
      </c>
      <c r="G36" s="2" t="s">
        <v>382</v>
      </c>
      <c r="O36" s="137" t="s">
        <v>383</v>
      </c>
      <c r="P36" s="137"/>
      <c r="Q36" s="2" t="s">
        <v>384</v>
      </c>
      <c r="R36" s="2" t="s">
        <v>387</v>
      </c>
      <c r="T36" s="2" t="s">
        <v>384</v>
      </c>
      <c r="U36" s="2" t="s">
        <v>235</v>
      </c>
    </row>
    <row r="37">
      <c r="B37" s="130" t="s">
        <v>350</v>
      </c>
      <c r="C37" s="137" t="s">
        <v>388</v>
      </c>
      <c r="F37" s="2" t="s">
        <v>235</v>
      </c>
      <c r="G37" s="110" t="s">
        <v>389</v>
      </c>
      <c r="H37" s="2" t="s">
        <v>390</v>
      </c>
      <c r="J37" s="140" t="s">
        <v>311</v>
      </c>
      <c r="O37" s="141" t="s">
        <v>391</v>
      </c>
      <c r="P37" s="142"/>
      <c r="Q37" s="142"/>
      <c r="R37" s="2" t="s">
        <v>394</v>
      </c>
      <c r="T37" s="2" t="s">
        <v>384</v>
      </c>
      <c r="U37" s="2" t="s">
        <v>235</v>
      </c>
    </row>
    <row r="38">
      <c r="H38" s="116" t="s">
        <v>396</v>
      </c>
      <c r="J38" s="143"/>
      <c r="N38" s="144" t="s">
        <v>397</v>
      </c>
      <c r="O38" s="137" t="s">
        <v>398</v>
      </c>
      <c r="P38" s="137"/>
      <c r="Q38" s="2" t="s">
        <v>348</v>
      </c>
      <c r="R38" s="2" t="s">
        <v>399</v>
      </c>
      <c r="T38" s="2" t="s">
        <v>348</v>
      </c>
      <c r="U38" s="2" t="s">
        <v>235</v>
      </c>
    </row>
    <row r="39">
      <c r="B39" s="145" t="s">
        <v>400</v>
      </c>
      <c r="C39" s="146"/>
      <c r="D39" s="146"/>
      <c r="E39" s="146"/>
      <c r="F39" s="2" t="s">
        <v>235</v>
      </c>
      <c r="H39" s="2" t="s">
        <v>402</v>
      </c>
      <c r="J39" s="140" t="s">
        <v>327</v>
      </c>
      <c r="O39" s="132" t="s">
        <v>403</v>
      </c>
      <c r="P39" s="133"/>
      <c r="R39" s="2" t="s">
        <v>404</v>
      </c>
      <c r="T39" s="2" t="s">
        <v>348</v>
      </c>
      <c r="U39" s="2" t="s">
        <v>235</v>
      </c>
    </row>
    <row r="40">
      <c r="B40" s="126" t="s">
        <v>341</v>
      </c>
      <c r="C40" s="147" t="s">
        <v>405</v>
      </c>
      <c r="F40" s="2" t="s">
        <v>235</v>
      </c>
      <c r="H40" s="116" t="s">
        <v>406</v>
      </c>
      <c r="J40" s="143"/>
      <c r="O40" s="137" t="s">
        <v>407</v>
      </c>
      <c r="P40" s="148"/>
      <c r="Q40" s="2" t="s">
        <v>348</v>
      </c>
      <c r="R40" s="2" t="s">
        <v>408</v>
      </c>
      <c r="T40" s="2" t="s">
        <v>348</v>
      </c>
      <c r="U40" s="2" t="s">
        <v>235</v>
      </c>
    </row>
    <row r="41">
      <c r="B41" s="130" t="s">
        <v>350</v>
      </c>
      <c r="C41" s="137" t="s">
        <v>409</v>
      </c>
      <c r="F41" s="2" t="s">
        <v>235</v>
      </c>
      <c r="H41" s="2" t="s">
        <v>410</v>
      </c>
      <c r="J41" s="140" t="s">
        <v>333</v>
      </c>
      <c r="O41" s="132" t="s">
        <v>411</v>
      </c>
      <c r="P41" s="133"/>
      <c r="R41" s="2" t="s">
        <v>412</v>
      </c>
      <c r="T41" s="2" t="s">
        <v>348</v>
      </c>
      <c r="U41" s="2" t="s">
        <v>235</v>
      </c>
    </row>
    <row r="42">
      <c r="C42" s="137" t="s">
        <v>414</v>
      </c>
      <c r="F42" s="2" t="s">
        <v>235</v>
      </c>
      <c r="H42" s="116" t="s">
        <v>415</v>
      </c>
      <c r="O42" s="137" t="s">
        <v>416</v>
      </c>
      <c r="P42" s="137"/>
      <c r="Q42" s="2" t="s">
        <v>369</v>
      </c>
      <c r="R42" s="2" t="s">
        <v>417</v>
      </c>
      <c r="T42" s="2" t="s">
        <v>369</v>
      </c>
      <c r="U42" s="2" t="s">
        <v>235</v>
      </c>
    </row>
    <row r="43">
      <c r="O43" s="132" t="s">
        <v>419</v>
      </c>
      <c r="P43" s="133"/>
      <c r="R43" s="2" t="s">
        <v>420</v>
      </c>
      <c r="T43" s="2" t="s">
        <v>369</v>
      </c>
      <c r="U43" s="2" t="s">
        <v>235</v>
      </c>
    </row>
    <row r="44">
      <c r="B44" s="149" t="s">
        <v>422</v>
      </c>
      <c r="C44" s="150"/>
      <c r="D44" s="150"/>
      <c r="E44" s="150"/>
      <c r="G44" s="2" t="s">
        <v>423</v>
      </c>
      <c r="O44" s="137" t="s">
        <v>424</v>
      </c>
      <c r="P44" s="137"/>
      <c r="Q44" s="2" t="s">
        <v>369</v>
      </c>
      <c r="R44" s="2" t="s">
        <v>425</v>
      </c>
      <c r="T44" s="2" t="s">
        <v>369</v>
      </c>
      <c r="U44" s="2" t="s">
        <v>235</v>
      </c>
    </row>
    <row r="45">
      <c r="B45" s="126" t="s">
        <v>341</v>
      </c>
      <c r="C45" s="147" t="s">
        <v>427</v>
      </c>
      <c r="G45" s="110" t="s">
        <v>428</v>
      </c>
      <c r="H45" s="2" t="s">
        <v>429</v>
      </c>
      <c r="J45" s="111" t="s">
        <v>311</v>
      </c>
      <c r="O45" s="141" t="s">
        <v>430</v>
      </c>
      <c r="P45" s="151"/>
      <c r="Q45" s="151"/>
      <c r="R45" s="2" t="s">
        <v>431</v>
      </c>
      <c r="T45" s="2" t="s">
        <v>369</v>
      </c>
      <c r="U45" s="2" t="s">
        <v>235</v>
      </c>
    </row>
    <row r="46">
      <c r="B46" s="130" t="s">
        <v>350</v>
      </c>
      <c r="C46" s="137" t="s">
        <v>432</v>
      </c>
      <c r="H46" s="116" t="s">
        <v>433</v>
      </c>
      <c r="N46" s="152" t="s">
        <v>434</v>
      </c>
      <c r="O46" s="137" t="s">
        <v>435</v>
      </c>
      <c r="P46" s="127"/>
      <c r="Q46" s="137" t="s">
        <v>348</v>
      </c>
      <c r="R46" s="2" t="s">
        <v>436</v>
      </c>
      <c r="T46" s="2" t="s">
        <v>348</v>
      </c>
      <c r="U46" s="2" t="s">
        <v>235</v>
      </c>
    </row>
    <row r="47">
      <c r="C47" s="137" t="s">
        <v>437</v>
      </c>
      <c r="H47" s="2" t="s">
        <v>438</v>
      </c>
      <c r="J47" s="111" t="s">
        <v>327</v>
      </c>
      <c r="O47" s="132" t="s">
        <v>439</v>
      </c>
      <c r="P47" s="127"/>
      <c r="Q47" s="127"/>
      <c r="R47" s="2" t="s">
        <v>440</v>
      </c>
      <c r="T47" s="2" t="s">
        <v>348</v>
      </c>
      <c r="U47" s="2" t="s">
        <v>235</v>
      </c>
    </row>
    <row r="48">
      <c r="H48" s="116" t="s">
        <v>441</v>
      </c>
      <c r="O48" s="137" t="s">
        <v>442</v>
      </c>
      <c r="P48" s="127"/>
      <c r="Q48" s="137" t="s">
        <v>369</v>
      </c>
      <c r="R48" s="2" t="s">
        <v>443</v>
      </c>
      <c r="T48" s="2" t="s">
        <v>369</v>
      </c>
      <c r="U48" s="2" t="s">
        <v>235</v>
      </c>
    </row>
    <row r="49">
      <c r="H49" s="2" t="s">
        <v>444</v>
      </c>
      <c r="J49" s="111" t="s">
        <v>333</v>
      </c>
      <c r="O49" s="132" t="s">
        <v>445</v>
      </c>
      <c r="P49" s="127"/>
      <c r="Q49" s="127"/>
      <c r="R49" s="2" t="s">
        <v>235</v>
      </c>
      <c r="T49" s="2" t="s">
        <v>369</v>
      </c>
      <c r="U49" s="2" t="s">
        <v>235</v>
      </c>
    </row>
    <row r="50">
      <c r="H50" s="116" t="s">
        <v>446</v>
      </c>
      <c r="O50" s="137" t="s">
        <v>447</v>
      </c>
      <c r="P50" s="127"/>
      <c r="Q50" s="137" t="s">
        <v>384</v>
      </c>
      <c r="R50" s="2" t="s">
        <v>448</v>
      </c>
      <c r="T50" s="2" t="s">
        <v>384</v>
      </c>
      <c r="U50" s="2" t="s">
        <v>235</v>
      </c>
    </row>
    <row r="51">
      <c r="O51" s="141" t="s">
        <v>449</v>
      </c>
      <c r="P51" s="151"/>
      <c r="Q51" s="151"/>
      <c r="R51" s="2" t="s">
        <v>450</v>
      </c>
      <c r="T51" s="2" t="s">
        <v>384</v>
      </c>
      <c r="U51" s="2" t="s">
        <v>235</v>
      </c>
    </row>
    <row r="52">
      <c r="G52" s="2" t="s">
        <v>451</v>
      </c>
      <c r="N52" s="153" t="s">
        <v>274</v>
      </c>
      <c r="O52" s="137" t="s">
        <v>452</v>
      </c>
      <c r="P52" s="127"/>
      <c r="Q52" s="137" t="s">
        <v>369</v>
      </c>
      <c r="R52" s="2" t="s">
        <v>235</v>
      </c>
      <c r="T52" s="2" t="s">
        <v>369</v>
      </c>
      <c r="U52" s="2" t="s">
        <v>235</v>
      </c>
    </row>
    <row r="53">
      <c r="G53" s="110" t="s">
        <v>428</v>
      </c>
      <c r="H53" s="2" t="s">
        <v>454</v>
      </c>
      <c r="J53" s="111" t="s">
        <v>311</v>
      </c>
      <c r="O53" s="132" t="s">
        <v>455</v>
      </c>
      <c r="P53" s="127"/>
      <c r="Q53" s="127"/>
      <c r="R53" s="2" t="s">
        <v>235</v>
      </c>
      <c r="T53" s="2" t="s">
        <v>369</v>
      </c>
      <c r="U53" s="2" t="s">
        <v>235</v>
      </c>
    </row>
    <row r="54">
      <c r="H54" s="116" t="s">
        <v>456</v>
      </c>
      <c r="O54" s="137" t="s">
        <v>457</v>
      </c>
      <c r="P54" s="127"/>
      <c r="Q54" s="137" t="s">
        <v>384</v>
      </c>
      <c r="R54" s="2" t="s">
        <v>458</v>
      </c>
      <c r="T54" s="2" t="s">
        <v>384</v>
      </c>
      <c r="U54" s="2" t="s">
        <v>235</v>
      </c>
    </row>
    <row r="55">
      <c r="H55" s="2" t="s">
        <v>459</v>
      </c>
      <c r="J55" s="111" t="s">
        <v>327</v>
      </c>
      <c r="O55" s="141" t="s">
        <v>460</v>
      </c>
      <c r="P55" s="151"/>
      <c r="Q55" s="151"/>
      <c r="R55" s="2" t="s">
        <v>235</v>
      </c>
      <c r="T55" s="2" t="s">
        <v>384</v>
      </c>
      <c r="U55" s="2" t="s">
        <v>235</v>
      </c>
    </row>
    <row r="56">
      <c r="H56" s="116" t="s">
        <v>461</v>
      </c>
      <c r="N56" s="154" t="s">
        <v>462</v>
      </c>
      <c r="O56" s="137" t="s">
        <v>463</v>
      </c>
      <c r="P56" s="137"/>
      <c r="Q56" s="2" t="s">
        <v>348</v>
      </c>
      <c r="R56" s="2" t="s">
        <v>235</v>
      </c>
      <c r="U56" s="2" t="s">
        <v>235</v>
      </c>
    </row>
    <row r="57">
      <c r="H57" s="2" t="s">
        <v>464</v>
      </c>
      <c r="J57" s="111" t="s">
        <v>333</v>
      </c>
      <c r="O57" s="132"/>
      <c r="P57" s="127"/>
      <c r="R57" s="2" t="s">
        <v>235</v>
      </c>
      <c r="U57" s="2" t="s">
        <v>235</v>
      </c>
    </row>
    <row r="58">
      <c r="H58" s="116" t="s">
        <v>465</v>
      </c>
      <c r="O58" s="2" t="s">
        <v>466</v>
      </c>
      <c r="P58" s="2"/>
      <c r="Q58" s="2" t="s">
        <v>369</v>
      </c>
      <c r="R58" s="2" t="s">
        <v>235</v>
      </c>
      <c r="U58" s="2" t="s">
        <v>235</v>
      </c>
    </row>
    <row r="59">
      <c r="R59" s="2" t="s">
        <v>235</v>
      </c>
      <c r="U59" s="2" t="s">
        <v>235</v>
      </c>
    </row>
    <row r="60">
      <c r="G60" s="2" t="s">
        <v>467</v>
      </c>
      <c r="O60" s="2" t="s">
        <v>468</v>
      </c>
      <c r="P60" s="2"/>
      <c r="Q60" s="2" t="s">
        <v>384</v>
      </c>
      <c r="R60" s="2" t="s">
        <v>235</v>
      </c>
      <c r="U60" s="2" t="s">
        <v>235</v>
      </c>
    </row>
    <row r="61">
      <c r="G61" s="110" t="s">
        <v>428</v>
      </c>
      <c r="H61" s="2" t="s">
        <v>469</v>
      </c>
      <c r="J61" s="111" t="s">
        <v>311</v>
      </c>
      <c r="O61" s="2"/>
      <c r="R61" s="2" t="s">
        <v>235</v>
      </c>
      <c r="U61" s="2" t="s">
        <v>235</v>
      </c>
    </row>
    <row r="62">
      <c r="H62" s="116" t="s">
        <v>470</v>
      </c>
      <c r="N62" s="128" t="s">
        <v>471</v>
      </c>
      <c r="O62" s="129" t="s">
        <v>472</v>
      </c>
      <c r="Q62" s="2" t="s">
        <v>348</v>
      </c>
      <c r="R62" s="2" t="s">
        <v>235</v>
      </c>
      <c r="U62" s="2" t="s">
        <v>235</v>
      </c>
    </row>
    <row r="63">
      <c r="H63" s="2" t="s">
        <v>473</v>
      </c>
      <c r="J63" s="111" t="s">
        <v>327</v>
      </c>
      <c r="O63" s="132" t="s">
        <v>474</v>
      </c>
      <c r="P63" s="133"/>
      <c r="R63" s="2" t="s">
        <v>235</v>
      </c>
      <c r="U63" s="2" t="s">
        <v>235</v>
      </c>
    </row>
    <row r="64">
      <c r="H64" s="116" t="s">
        <v>475</v>
      </c>
      <c r="O64" s="155" t="s">
        <v>476</v>
      </c>
      <c r="Q64" s="2" t="s">
        <v>348</v>
      </c>
      <c r="R64" s="2" t="s">
        <v>235</v>
      </c>
      <c r="U64" s="2" t="s">
        <v>235</v>
      </c>
    </row>
    <row r="65">
      <c r="H65" s="2" t="s">
        <v>477</v>
      </c>
      <c r="J65" s="111" t="s">
        <v>333</v>
      </c>
      <c r="O65" s="132" t="s">
        <v>478</v>
      </c>
      <c r="P65" s="133"/>
      <c r="R65" s="2" t="s">
        <v>235</v>
      </c>
      <c r="U65" s="2" t="s">
        <v>235</v>
      </c>
    </row>
    <row r="66">
      <c r="H66" s="116" t="s">
        <v>479</v>
      </c>
      <c r="O66" s="137" t="s">
        <v>480</v>
      </c>
      <c r="Q66" s="2" t="s">
        <v>369</v>
      </c>
      <c r="R66" s="2" t="s">
        <v>235</v>
      </c>
      <c r="U66" s="2" t="s">
        <v>235</v>
      </c>
    </row>
    <row r="67">
      <c r="O67" s="132" t="s">
        <v>481</v>
      </c>
      <c r="P67" s="133"/>
      <c r="R67" s="2" t="s">
        <v>235</v>
      </c>
      <c r="U67" s="2" t="s">
        <v>235</v>
      </c>
    </row>
    <row r="68">
      <c r="G68" s="2" t="s">
        <v>482</v>
      </c>
      <c r="O68" s="137" t="s">
        <v>483</v>
      </c>
      <c r="Q68" s="2" t="s">
        <v>384</v>
      </c>
      <c r="R68" s="2" t="s">
        <v>235</v>
      </c>
      <c r="U68" s="2" t="s">
        <v>235</v>
      </c>
    </row>
    <row r="69">
      <c r="G69" s="110" t="s">
        <v>484</v>
      </c>
      <c r="H69" s="2" t="s">
        <v>485</v>
      </c>
      <c r="J69" s="111" t="s">
        <v>311</v>
      </c>
      <c r="O69" s="132" t="s">
        <v>486</v>
      </c>
      <c r="P69" s="133"/>
      <c r="R69" s="2" t="s">
        <v>235</v>
      </c>
      <c r="U69" s="2" t="s">
        <v>235</v>
      </c>
    </row>
    <row r="70">
      <c r="H70" s="116" t="s">
        <v>487</v>
      </c>
      <c r="I70" s="111"/>
      <c r="O70" s="137" t="s">
        <v>488</v>
      </c>
      <c r="Q70" s="2" t="s">
        <v>384</v>
      </c>
      <c r="R70" s="2" t="s">
        <v>235</v>
      </c>
      <c r="U70" s="2" t="s">
        <v>235</v>
      </c>
    </row>
    <row r="71">
      <c r="H71" s="156" t="s">
        <v>489</v>
      </c>
      <c r="J71" s="111" t="s">
        <v>327</v>
      </c>
      <c r="O71" s="141" t="s">
        <v>490</v>
      </c>
      <c r="P71" s="142"/>
      <c r="Q71" s="142"/>
      <c r="R71" s="2" t="s">
        <v>235</v>
      </c>
      <c r="U71" s="2" t="s">
        <v>235</v>
      </c>
    </row>
    <row r="72">
      <c r="H72" s="116" t="s">
        <v>491</v>
      </c>
      <c r="I72" s="111"/>
      <c r="N72" s="144" t="s">
        <v>492</v>
      </c>
      <c r="O72" s="137" t="s">
        <v>493</v>
      </c>
      <c r="P72" s="133"/>
      <c r="Q72" s="147" t="s">
        <v>348</v>
      </c>
      <c r="R72" s="2" t="s">
        <v>235</v>
      </c>
      <c r="U72" s="2" t="s">
        <v>235</v>
      </c>
    </row>
    <row r="73">
      <c r="H73" s="157" t="s">
        <v>494</v>
      </c>
      <c r="J73" s="111" t="s">
        <v>333</v>
      </c>
      <c r="O73" s="132" t="s">
        <v>495</v>
      </c>
      <c r="P73" s="133"/>
      <c r="Q73" s="133"/>
      <c r="R73" s="2" t="s">
        <v>235</v>
      </c>
      <c r="U73" s="2" t="s">
        <v>235</v>
      </c>
    </row>
    <row r="74">
      <c r="H74" s="116" t="s">
        <v>497</v>
      </c>
      <c r="O74" s="137" t="s">
        <v>498</v>
      </c>
      <c r="P74" s="133"/>
      <c r="Q74" s="147" t="s">
        <v>348</v>
      </c>
      <c r="R74" s="2" t="s">
        <v>235</v>
      </c>
      <c r="U74" s="2" t="s">
        <v>235</v>
      </c>
    </row>
    <row r="75">
      <c r="O75" s="132" t="s">
        <v>499</v>
      </c>
      <c r="P75" s="133"/>
      <c r="Q75" s="133"/>
      <c r="R75" s="2" t="s">
        <v>235</v>
      </c>
      <c r="U75" s="2" t="s">
        <v>235</v>
      </c>
    </row>
    <row r="76">
      <c r="G76" s="2" t="s">
        <v>500</v>
      </c>
      <c r="O76" s="137" t="s">
        <v>501</v>
      </c>
      <c r="P76" s="133"/>
      <c r="Q76" s="147" t="s">
        <v>369</v>
      </c>
      <c r="R76" s="2" t="s">
        <v>235</v>
      </c>
      <c r="U76" s="2" t="s">
        <v>235</v>
      </c>
    </row>
    <row r="77">
      <c r="G77" s="110" t="s">
        <v>484</v>
      </c>
      <c r="H77" s="2" t="s">
        <v>502</v>
      </c>
      <c r="J77" s="111" t="s">
        <v>311</v>
      </c>
      <c r="O77" s="132" t="s">
        <v>503</v>
      </c>
      <c r="P77" s="133"/>
      <c r="Q77" s="133"/>
      <c r="R77" s="2" t="s">
        <v>235</v>
      </c>
      <c r="U77" s="2" t="s">
        <v>235</v>
      </c>
    </row>
    <row r="78">
      <c r="H78" s="116" t="s">
        <v>504</v>
      </c>
      <c r="O78" s="137" t="s">
        <v>505</v>
      </c>
      <c r="P78" s="133"/>
      <c r="Q78" s="147" t="s">
        <v>384</v>
      </c>
      <c r="R78" s="2" t="s">
        <v>235</v>
      </c>
      <c r="U78" s="2" t="s">
        <v>235</v>
      </c>
    </row>
    <row r="79">
      <c r="H79" s="2" t="s">
        <v>506</v>
      </c>
      <c r="J79" s="111" t="s">
        <v>327</v>
      </c>
      <c r="O79" s="141" t="s">
        <v>507</v>
      </c>
      <c r="P79" s="142"/>
      <c r="Q79" s="142"/>
      <c r="R79" s="2" t="s">
        <v>235</v>
      </c>
      <c r="U79" s="2" t="s">
        <v>235</v>
      </c>
    </row>
    <row r="80">
      <c r="H80" s="116" t="s">
        <v>508</v>
      </c>
      <c r="R80" s="2" t="s">
        <v>235</v>
      </c>
    </row>
    <row r="81">
      <c r="H81" s="2" t="s">
        <v>509</v>
      </c>
      <c r="J81" s="111" t="s">
        <v>333</v>
      </c>
      <c r="R81" s="2" t="s">
        <v>235</v>
      </c>
    </row>
    <row r="82">
      <c r="H82" s="116" t="s">
        <v>510</v>
      </c>
    </row>
    <row r="84">
      <c r="G84" s="2" t="s">
        <v>511</v>
      </c>
    </row>
    <row r="85">
      <c r="G85" s="158" t="s">
        <v>512</v>
      </c>
      <c r="H85" s="2" t="s">
        <v>513</v>
      </c>
      <c r="J85" s="140" t="s">
        <v>311</v>
      </c>
    </row>
    <row r="86">
      <c r="H86" s="116" t="s">
        <v>514</v>
      </c>
      <c r="J86" s="143"/>
    </row>
    <row r="87">
      <c r="H87" s="2" t="s">
        <v>515</v>
      </c>
      <c r="J87" s="140" t="s">
        <v>327</v>
      </c>
    </row>
    <row r="88">
      <c r="H88" s="116" t="s">
        <v>516</v>
      </c>
      <c r="J88" s="143"/>
    </row>
    <row r="89">
      <c r="H89" s="2" t="s">
        <v>517</v>
      </c>
      <c r="J89" s="140" t="s">
        <v>333</v>
      </c>
    </row>
    <row r="90">
      <c r="H90" s="116" t="s">
        <v>518</v>
      </c>
    </row>
    <row r="92">
      <c r="G92" s="159" t="s">
        <v>519</v>
      </c>
    </row>
    <row r="93">
      <c r="G93" s="158" t="s">
        <v>520</v>
      </c>
      <c r="H93" s="2" t="s">
        <v>521</v>
      </c>
      <c r="J93" s="111" t="s">
        <v>311</v>
      </c>
    </row>
    <row r="94">
      <c r="H94" s="116" t="s">
        <v>522</v>
      </c>
    </row>
    <row r="95">
      <c r="H95" s="2" t="s">
        <v>523</v>
      </c>
      <c r="J95" s="111" t="s">
        <v>327</v>
      </c>
    </row>
    <row r="96">
      <c r="H96" s="116" t="s">
        <v>524</v>
      </c>
    </row>
    <row r="97">
      <c r="H97" s="2" t="s">
        <v>525</v>
      </c>
      <c r="J97" s="111" t="s">
        <v>333</v>
      </c>
    </row>
    <row r="98">
      <c r="H98" s="116" t="s">
        <v>526</v>
      </c>
    </row>
    <row r="100">
      <c r="G100" s="2" t="s">
        <v>527</v>
      </c>
    </row>
    <row r="101">
      <c r="G101" s="158" t="s">
        <v>520</v>
      </c>
      <c r="H101" s="2" t="s">
        <v>528</v>
      </c>
      <c r="J101" s="111" t="s">
        <v>311</v>
      </c>
    </row>
    <row r="102">
      <c r="H102" s="116" t="s">
        <v>529</v>
      </c>
    </row>
    <row r="103">
      <c r="H103" s="2" t="s">
        <v>530</v>
      </c>
      <c r="J103" s="111" t="s">
        <v>327</v>
      </c>
    </row>
    <row r="104">
      <c r="H104" s="116" t="s">
        <v>531</v>
      </c>
    </row>
    <row r="105">
      <c r="H105" s="2" t="s">
        <v>532</v>
      </c>
      <c r="J105" s="111" t="s">
        <v>333</v>
      </c>
    </row>
    <row r="106">
      <c r="H106" s="116" t="s">
        <v>533</v>
      </c>
    </row>
    <row r="108">
      <c r="G108" s="159" t="s">
        <v>534</v>
      </c>
    </row>
    <row r="109">
      <c r="G109" s="158" t="s">
        <v>520</v>
      </c>
      <c r="H109" s="2" t="s">
        <v>535</v>
      </c>
      <c r="J109" s="111" t="s">
        <v>311</v>
      </c>
    </row>
    <row r="110">
      <c r="H110" s="116" t="s">
        <v>536</v>
      </c>
    </row>
    <row r="111">
      <c r="H111" s="2" t="s">
        <v>537</v>
      </c>
      <c r="J111" s="111" t="s">
        <v>327</v>
      </c>
    </row>
    <row r="112">
      <c r="H112" s="116" t="s">
        <v>538</v>
      </c>
    </row>
    <row r="113">
      <c r="H113" s="2" t="s">
        <v>540</v>
      </c>
      <c r="J113" s="111" t="s">
        <v>333</v>
      </c>
    </row>
    <row r="114">
      <c r="H114" s="116" t="s">
        <v>541</v>
      </c>
    </row>
    <row r="116">
      <c r="G116" s="2" t="s">
        <v>542</v>
      </c>
    </row>
    <row r="117">
      <c r="G117" s="158" t="s">
        <v>520</v>
      </c>
      <c r="H117" s="2" t="s">
        <v>543</v>
      </c>
      <c r="J117" s="140" t="s">
        <v>311</v>
      </c>
    </row>
    <row r="118">
      <c r="H118" s="116" t="s">
        <v>544</v>
      </c>
      <c r="J118" s="143"/>
    </row>
    <row r="119">
      <c r="H119" s="2" t="s">
        <v>545</v>
      </c>
      <c r="J119" s="140" t="s">
        <v>546</v>
      </c>
    </row>
    <row r="120">
      <c r="H120" s="116" t="s">
        <v>547</v>
      </c>
      <c r="J120" s="143"/>
    </row>
    <row r="121">
      <c r="H121" s="2" t="s">
        <v>548</v>
      </c>
      <c r="J121" s="140" t="s">
        <v>549</v>
      </c>
    </row>
    <row r="122">
      <c r="H122" s="116" t="s">
        <v>550</v>
      </c>
    </row>
    <row r="124">
      <c r="G124" s="2" t="s">
        <v>552</v>
      </c>
    </row>
    <row r="125">
      <c r="G125" s="158" t="s">
        <v>553</v>
      </c>
      <c r="H125" s="2" t="s">
        <v>554</v>
      </c>
      <c r="J125" s="111" t="s">
        <v>311</v>
      </c>
    </row>
    <row r="126">
      <c r="H126" s="116" t="s">
        <v>555</v>
      </c>
    </row>
    <row r="127">
      <c r="H127" s="2" t="s">
        <v>556</v>
      </c>
      <c r="J127" s="111" t="s">
        <v>327</v>
      </c>
    </row>
    <row r="128">
      <c r="H128" s="116" t="s">
        <v>557</v>
      </c>
    </row>
    <row r="129">
      <c r="H129" s="2" t="s">
        <v>558</v>
      </c>
      <c r="J129" s="111" t="s">
        <v>333</v>
      </c>
    </row>
    <row r="130">
      <c r="H130" s="116" t="s">
        <v>559</v>
      </c>
    </row>
    <row r="132">
      <c r="G132" s="159" t="s">
        <v>561</v>
      </c>
    </row>
    <row r="133">
      <c r="G133" s="158" t="s">
        <v>553</v>
      </c>
      <c r="H133" s="2" t="s">
        <v>562</v>
      </c>
      <c r="J133" s="111" t="s">
        <v>311</v>
      </c>
    </row>
    <row r="134">
      <c r="H134" s="116" t="s">
        <v>564</v>
      </c>
    </row>
    <row r="135">
      <c r="H135" s="2" t="s">
        <v>565</v>
      </c>
      <c r="J135" s="111" t="s">
        <v>327</v>
      </c>
    </row>
    <row r="136">
      <c r="H136" s="116" t="s">
        <v>566</v>
      </c>
    </row>
    <row r="137">
      <c r="H137" s="2" t="s">
        <v>567</v>
      </c>
      <c r="J137" s="111" t="s">
        <v>333</v>
      </c>
    </row>
    <row r="138">
      <c r="H138" s="116" t="s">
        <v>568</v>
      </c>
    </row>
    <row r="143">
      <c r="H143" s="2" t="s">
        <v>569</v>
      </c>
    </row>
    <row r="144">
      <c r="H144" s="2" t="s">
        <v>570</v>
      </c>
    </row>
  </sheetData>
  <mergeCells count="79">
    <mergeCell ref="L10:L11"/>
    <mergeCell ref="M10:M11"/>
    <mergeCell ref="L12:L13"/>
    <mergeCell ref="M12:M13"/>
    <mergeCell ref="O12:O17"/>
    <mergeCell ref="L14:L15"/>
    <mergeCell ref="M14:M15"/>
    <mergeCell ref="J10:J11"/>
    <mergeCell ref="K10:K11"/>
    <mergeCell ref="J12:J13"/>
    <mergeCell ref="K12:K13"/>
    <mergeCell ref="J14:J15"/>
    <mergeCell ref="K14:K15"/>
    <mergeCell ref="G18:H18"/>
    <mergeCell ref="O62:P62"/>
    <mergeCell ref="O64:P64"/>
    <mergeCell ref="O66:P66"/>
    <mergeCell ref="O68:P68"/>
    <mergeCell ref="N62:N71"/>
    <mergeCell ref="N72:N79"/>
    <mergeCell ref="N28:N37"/>
    <mergeCell ref="O30:P30"/>
    <mergeCell ref="N38:N45"/>
    <mergeCell ref="N46:N51"/>
    <mergeCell ref="N52:N55"/>
    <mergeCell ref="N56:N61"/>
    <mergeCell ref="O70:P70"/>
    <mergeCell ref="G85:G90"/>
    <mergeCell ref="G93:G98"/>
    <mergeCell ref="G101:G106"/>
    <mergeCell ref="G109:G114"/>
    <mergeCell ref="G117:G122"/>
    <mergeCell ref="G125:G130"/>
    <mergeCell ref="G133:G138"/>
    <mergeCell ref="G29:G34"/>
    <mergeCell ref="G37:G42"/>
    <mergeCell ref="G45:G50"/>
    <mergeCell ref="G53:G58"/>
    <mergeCell ref="G61:G66"/>
    <mergeCell ref="G69:G74"/>
    <mergeCell ref="G77:G82"/>
    <mergeCell ref="H4:I4"/>
    <mergeCell ref="O4:O7"/>
    <mergeCell ref="P4:V4"/>
    <mergeCell ref="J6:J7"/>
    <mergeCell ref="K6:K7"/>
    <mergeCell ref="L6:L7"/>
    <mergeCell ref="M6:M7"/>
    <mergeCell ref="H6:I6"/>
    <mergeCell ref="H7:I7"/>
    <mergeCell ref="J8:J9"/>
    <mergeCell ref="K8:K9"/>
    <mergeCell ref="L8:L9"/>
    <mergeCell ref="M8:M9"/>
    <mergeCell ref="O8:O11"/>
    <mergeCell ref="R10:S10"/>
    <mergeCell ref="T10:U10"/>
    <mergeCell ref="P11:Q11"/>
    <mergeCell ref="R11:S11"/>
    <mergeCell ref="T11:U11"/>
    <mergeCell ref="P8:Q8"/>
    <mergeCell ref="R8:S8"/>
    <mergeCell ref="T8:U8"/>
    <mergeCell ref="P9:Q9"/>
    <mergeCell ref="R9:S9"/>
    <mergeCell ref="T9:U9"/>
    <mergeCell ref="P10:Q10"/>
    <mergeCell ref="D18:E18"/>
    <mergeCell ref="D19:E19"/>
    <mergeCell ref="D20:E20"/>
    <mergeCell ref="D21:E21"/>
    <mergeCell ref="G21:G26"/>
    <mergeCell ref="H23:I23"/>
    <mergeCell ref="H25:I25"/>
    <mergeCell ref="O18:O21"/>
    <mergeCell ref="O26:Q27"/>
    <mergeCell ref="R26:T27"/>
    <mergeCell ref="U26:W27"/>
    <mergeCell ref="O28:P28"/>
  </mergeCells>
  <conditionalFormatting sqref="Q28:Q79 T28:T55">
    <cfRule type="containsText" dxfId="0" priority="1" operator="containsText" text="Common">
      <formula>NOT(ISERROR(SEARCH(("Common"),(Q28))))</formula>
    </cfRule>
  </conditionalFormatting>
  <conditionalFormatting sqref="Q28:Q79 T28:T55">
    <cfRule type="containsText" dxfId="1" priority="2" operator="containsText" text="Pro">
      <formula>NOT(ISERROR(SEARCH(("Pro"),(Q28))))</formula>
    </cfRule>
  </conditionalFormatting>
  <conditionalFormatting sqref="Q28:Q79 T28:T55">
    <cfRule type="containsText" dxfId="2" priority="3" operator="containsText" text="Rare">
      <formula>NOT(ISERROR(SEARCH(("Rare"),(Q28))))</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C3" s="2" t="s">
        <v>1</v>
      </c>
      <c r="D3" s="2" t="s">
        <v>3</v>
      </c>
      <c r="E3" s="2" t="s">
        <v>5</v>
      </c>
      <c r="F3" s="2" t="s">
        <v>7</v>
      </c>
      <c r="G3" s="2" t="s">
        <v>10</v>
      </c>
      <c r="H3" s="2" t="s">
        <v>11</v>
      </c>
    </row>
    <row r="4">
      <c r="D4" s="7">
        <f>5 * 3 + 10* 2</f>
        <v>35</v>
      </c>
      <c r="E4" s="7">
        <f>'Hoja 1'!H17*3+'Hoja 1'!H17*2*2</f>
        <v>140</v>
      </c>
      <c r="F4" s="7">
        <f>'Hoja 1'!H35*3+'Hoja 1'!H35*2*2</f>
        <v>280</v>
      </c>
      <c r="G4" s="7">
        <f>'Hoja 1'!H54*3+'Hoja 1'!H54*2*2</f>
        <v>525</v>
      </c>
      <c r="H4" s="7">
        <f>'Hoja 1'!H68*3+'Hoja 1'!H68*2*2</f>
        <v>875</v>
      </c>
    </row>
    <row r="6">
      <c r="C6" s="2" t="s">
        <v>68</v>
      </c>
      <c r="D6" s="2">
        <v>10.0</v>
      </c>
      <c r="E6" s="2" t="s">
        <v>71</v>
      </c>
      <c r="F6" s="7" t="str">
        <f>"+30"</f>
        <v>+30</v>
      </c>
      <c r="H6" s="7">
        <f>H4+F6</f>
        <v>905</v>
      </c>
    </row>
    <row r="7">
      <c r="C7" s="2" t="s">
        <v>81</v>
      </c>
      <c r="D7" s="2">
        <v>20.0</v>
      </c>
      <c r="E7" s="2" t="s">
        <v>83</v>
      </c>
      <c r="F7" s="7" t="str">
        <f>"+40"</f>
        <v>+40</v>
      </c>
      <c r="H7" s="7">
        <f>F7 ++H6</f>
        <v>945</v>
      </c>
    </row>
    <row r="8">
      <c r="C8" s="2" t="s">
        <v>92</v>
      </c>
      <c r="D8" s="7">
        <f>10</f>
        <v>10</v>
      </c>
      <c r="E8" s="2" t="s">
        <v>96</v>
      </c>
      <c r="F8" s="7" t="str">
        <f>"+100"</f>
        <v>+100</v>
      </c>
      <c r="H8" s="7">
        <f>H7+F8</f>
        <v>1045</v>
      </c>
    </row>
    <row r="11">
      <c r="D11" s="10" t="s">
        <v>36</v>
      </c>
    </row>
    <row r="12">
      <c r="D12" s="2" t="s">
        <v>53</v>
      </c>
      <c r="E12" s="2" t="s">
        <v>56</v>
      </c>
      <c r="I12" s="2" t="s">
        <v>53</v>
      </c>
      <c r="J12" s="2" t="s">
        <v>56</v>
      </c>
      <c r="M12" s="2" t="s">
        <v>53</v>
      </c>
      <c r="N12" s="2" t="s">
        <v>56</v>
      </c>
    </row>
    <row r="13">
      <c r="C13" s="6" t="s">
        <v>111</v>
      </c>
      <c r="D13" s="2" t="s">
        <v>112</v>
      </c>
      <c r="E13" s="2" t="s">
        <v>112</v>
      </c>
      <c r="F13" s="43" t="s">
        <v>113</v>
      </c>
      <c r="G13" s="43" t="s">
        <v>116</v>
      </c>
      <c r="H13" s="43" t="s">
        <v>117</v>
      </c>
      <c r="I13" s="2" t="s">
        <v>119</v>
      </c>
      <c r="J13" s="2" t="s">
        <v>119</v>
      </c>
    </row>
    <row r="14">
      <c r="C14" s="4">
        <v>50.0</v>
      </c>
      <c r="D14" s="2" t="s">
        <v>121</v>
      </c>
      <c r="E14" s="2" t="s">
        <v>121</v>
      </c>
      <c r="F14" s="41"/>
      <c r="G14" s="41"/>
      <c r="H14" s="41"/>
      <c r="I14" s="2" t="s">
        <v>122</v>
      </c>
      <c r="J14" s="2" t="s">
        <v>122</v>
      </c>
      <c r="L14" s="2">
        <v>30.0</v>
      </c>
      <c r="M14" s="4" t="s">
        <v>123</v>
      </c>
    </row>
    <row r="15">
      <c r="C15" s="6" t="s">
        <v>125</v>
      </c>
      <c r="D15" s="2" t="s">
        <v>126</v>
      </c>
      <c r="E15" s="2" t="s">
        <v>127</v>
      </c>
      <c r="F15" s="43" t="s">
        <v>128</v>
      </c>
      <c r="I15" s="2" t="s">
        <v>126</v>
      </c>
      <c r="J15" s="2" t="s">
        <v>127</v>
      </c>
      <c r="M15" s="47" t="str">
        <f>"1-1-1-1-1"</f>
        <v>1-1-1-1-1</v>
      </c>
    </row>
    <row r="16">
      <c r="C16" s="4">
        <v>100.0</v>
      </c>
      <c r="D16" s="2" t="str">
        <f>CONCAT( 20+20+20+20+20, " ins")</f>
        <v>100 ins</v>
      </c>
      <c r="E16" s="7" t="str">
        <f>CONCAT(6+6+6+35+47," ins")</f>
        <v>100 ins</v>
      </c>
      <c r="F16" s="41"/>
      <c r="I16" s="2" t="str">
        <f>CONCAT( 20+20+20+10+10, " ins")</f>
        <v>80 ins</v>
      </c>
      <c r="J16" s="7" t="str">
        <f>CONCAT(6+6+6+20+26," ins")</f>
        <v>64 ins</v>
      </c>
      <c r="L16" s="2">
        <v>80.0</v>
      </c>
      <c r="M16" s="4" t="s">
        <v>137</v>
      </c>
      <c r="N16" s="4" t="s">
        <v>139</v>
      </c>
    </row>
    <row r="17">
      <c r="C17" s="6" t="s">
        <v>140</v>
      </c>
      <c r="D17" s="2" t="s">
        <v>141</v>
      </c>
      <c r="E17" s="2" t="s">
        <v>141</v>
      </c>
      <c r="F17" s="43" t="s">
        <v>142</v>
      </c>
      <c r="I17" s="2" t="s">
        <v>141</v>
      </c>
      <c r="J17" s="2" t="s">
        <v>141</v>
      </c>
      <c r="M17" s="47" t="str">
        <f>"10-10-10-5-5"</f>
        <v>10-10-10-5-5</v>
      </c>
      <c r="N17" s="47" t="str">
        <f>"10-3-1-1-25"</f>
        <v>10-3-1-1-25</v>
      </c>
    </row>
    <row r="18">
      <c r="C18" s="4">
        <v>200.0</v>
      </c>
      <c r="D18" s="7" t="str">
        <f>CONCAT(44+44+42+35+35," ins")</f>
        <v>200 ins</v>
      </c>
      <c r="E18" s="7" t="str">
        <f>CONCAT(20+20+20+35+106," ins")</f>
        <v>201 ins</v>
      </c>
      <c r="F18" s="41"/>
      <c r="I18" s="7" t="str">
        <f>CONCAT(44+44+42+20+20," ins")</f>
        <v>170 ins</v>
      </c>
      <c r="J18" s="7" t="str">
        <f>CONCAT(20+20+20+20+60," ins")</f>
        <v>140 ins</v>
      </c>
      <c r="L18" s="2">
        <v>140.0</v>
      </c>
      <c r="M18" s="4" t="s">
        <v>157</v>
      </c>
      <c r="N18" s="4" t="s">
        <v>158</v>
      </c>
    </row>
    <row r="19">
      <c r="C19" s="6" t="s">
        <v>159</v>
      </c>
      <c r="D19" s="2" t="s">
        <v>160</v>
      </c>
      <c r="E19" s="2" t="s">
        <v>161</v>
      </c>
      <c r="F19" s="43" t="s">
        <v>162</v>
      </c>
      <c r="I19" s="2" t="s">
        <v>163</v>
      </c>
      <c r="J19" s="2" t="s">
        <v>164</v>
      </c>
      <c r="M19" s="47" t="str">
        <f>"25-25-25-5-5"</f>
        <v>25-25-25-5-5</v>
      </c>
      <c r="N19" s="47" t="str">
        <f>"10-10-10-1-40"</f>
        <v>10-10-10-1-40</v>
      </c>
    </row>
    <row r="20">
      <c r="C20" s="4">
        <v>325.0</v>
      </c>
      <c r="D20" s="7" t="str">
        <f>CONCAT( 40+40+25+110+110," ins")</f>
        <v>325 ins</v>
      </c>
      <c r="E20" s="7" t="str">
        <f>CONCAT(25+25+25+55+195," ins")</f>
        <v>325 ins</v>
      </c>
      <c r="F20" s="41"/>
      <c r="I20" s="7" t="str">
        <f>CONCAT( 60+60+60+30+30," ins")</f>
        <v>240 ins</v>
      </c>
      <c r="J20" s="7" t="str">
        <f>CONCAT(25+25+25+10+125," ins")</f>
        <v>210 ins</v>
      </c>
      <c r="L20" s="2">
        <v>220.0</v>
      </c>
      <c r="M20" s="4" t="s">
        <v>177</v>
      </c>
      <c r="N20" s="4" t="s">
        <v>178</v>
      </c>
    </row>
    <row r="21">
      <c r="C21" s="6" t="s">
        <v>180</v>
      </c>
      <c r="D21" s="2" t="s">
        <v>181</v>
      </c>
      <c r="E21" s="2" t="s">
        <v>182</v>
      </c>
      <c r="F21" s="43" t="s">
        <v>183</v>
      </c>
      <c r="I21" s="2" t="s">
        <v>185</v>
      </c>
      <c r="J21" s="2" t="s">
        <v>187</v>
      </c>
      <c r="M21" s="47" t="str">
        <f>"35-30-30-10-10"</f>
        <v>35-30-30-10-10</v>
      </c>
      <c r="N21" s="47" t="str">
        <f>"28-10-10-5-50"</f>
        <v>28-10-10-5-50</v>
      </c>
    </row>
    <row r="22">
      <c r="C22" s="4">
        <v>500.0</v>
      </c>
      <c r="D22" s="7" t="str">
        <f t="shared" ref="D22:E22" si="1">CONCAT(58+56+56+135+195," ins")</f>
        <v>500 ins</v>
      </c>
      <c r="E22" s="7" t="str">
        <f t="shared" si="1"/>
        <v>500 ins</v>
      </c>
      <c r="F22" s="41"/>
      <c r="I22" s="7" t="str">
        <f>CONCAT(75+75+75+60+60," ins")</f>
        <v>345 ins</v>
      </c>
      <c r="J22" s="7" t="str">
        <f>CONCAT(75+60+60+30+125," ins")</f>
        <v>350 ins</v>
      </c>
      <c r="L22" s="2">
        <v>300.0</v>
      </c>
      <c r="M22" s="4" t="s">
        <v>194</v>
      </c>
      <c r="N22" s="4" t="s">
        <v>195</v>
      </c>
    </row>
    <row r="23">
      <c r="M23" s="47" t="str">
        <f>"35-50-40-10-10"</f>
        <v>35-50-40-10-10</v>
      </c>
      <c r="N23" s="47" t="str">
        <f>"50-10-10-5-50"</f>
        <v>50-10-10-5-50</v>
      </c>
    </row>
    <row r="25">
      <c r="B25" s="2" t="s">
        <v>201</v>
      </c>
    </row>
    <row r="26">
      <c r="B26" s="2" t="s">
        <v>203</v>
      </c>
      <c r="C26" s="2" t="s">
        <v>203</v>
      </c>
      <c r="D26" s="2" t="s">
        <v>203</v>
      </c>
      <c r="E26" s="2" t="s">
        <v>205</v>
      </c>
      <c r="F26" s="2" t="s">
        <v>205</v>
      </c>
      <c r="G26" s="2" t="s">
        <v>209</v>
      </c>
      <c r="I26" s="2" t="s">
        <v>210</v>
      </c>
      <c r="J26" s="2" t="s">
        <v>212</v>
      </c>
      <c r="K26" s="2" t="s">
        <v>214</v>
      </c>
      <c r="L26" s="2" t="s">
        <v>215</v>
      </c>
    </row>
    <row r="27">
      <c r="A27" s="2" t="s">
        <v>218</v>
      </c>
      <c r="B27" s="2">
        <v>25.0</v>
      </c>
      <c r="C27" s="2">
        <v>25.0</v>
      </c>
      <c r="D27" s="2">
        <v>25.0</v>
      </c>
      <c r="E27" s="2">
        <v>10.0</v>
      </c>
      <c r="F27" s="2">
        <v>10.0</v>
      </c>
      <c r="G27" s="2">
        <v>0.0</v>
      </c>
      <c r="H27" s="77">
        <v>46143.0</v>
      </c>
      <c r="I27" s="2">
        <v>5.0</v>
      </c>
      <c r="J27" s="2">
        <f t="shared" ref="J27:J34" si="4">I27+5</f>
        <v>10</v>
      </c>
      <c r="K27" s="7">
        <f t="shared" ref="K27:K28" si="5">max(5,I27+M27)</f>
        <v>5</v>
      </c>
      <c r="L27" s="7">
        <f t="shared" ref="L27:L28" si="6">max(5,J27+M27)</f>
        <v>5</v>
      </c>
      <c r="M27" s="2">
        <v>-5.0</v>
      </c>
      <c r="N27" s="2" t="s">
        <v>248</v>
      </c>
    </row>
    <row r="28">
      <c r="A28" s="2" t="s">
        <v>250</v>
      </c>
      <c r="B28" s="7">
        <f t="shared" ref="B28:D28" si="2">(B27-1)*5+if(B27&gt;20,(B27-20)*5+if(B27&gt;35,(B27-35)*5+if(B27&gt;45,(B27-45)*5,0)))</f>
        <v>145</v>
      </c>
      <c r="C28" s="7">
        <f t="shared" si="2"/>
        <v>145</v>
      </c>
      <c r="D28" s="7">
        <f t="shared" si="2"/>
        <v>145</v>
      </c>
      <c r="E28" s="7">
        <f t="shared" ref="E28:F28" si="3">(E27-1)*5+if(E27&gt;5,(E27-5)*5,0)+if(E27&gt;20,(E27-20)*5,0)+if(E27&gt;35,(E27-35)*5,0)+if(E27&gt;40,(E27-40)*10,0)+if(E27&gt;45,(E27-45)*5,0)</f>
        <v>70</v>
      </c>
      <c r="F28" s="7">
        <f t="shared" si="3"/>
        <v>70</v>
      </c>
      <c r="G28" s="7">
        <f>G27*50</f>
        <v>0</v>
      </c>
      <c r="H28" s="77">
        <v>46301.0</v>
      </c>
      <c r="I28" s="2">
        <v>10.0</v>
      </c>
      <c r="J28" s="2">
        <f t="shared" si="4"/>
        <v>15</v>
      </c>
      <c r="K28" s="7">
        <f t="shared" si="5"/>
        <v>5</v>
      </c>
      <c r="L28" s="7">
        <f t="shared" si="6"/>
        <v>10</v>
      </c>
      <c r="M28" s="2">
        <v>-5.0</v>
      </c>
    </row>
    <row r="29">
      <c r="A29" s="2" t="s">
        <v>282</v>
      </c>
      <c r="B29" s="7">
        <f t="shared" ref="B29:F29" si="7">(5+B27+if(B27&gt;=25,B27-25,0)+if(B27&gt;=40,B27-40,0))+if(B27&gt;=10,5,0)+if(B27&gt;=25,5,0)+if(B27&gt;=40,5,0)+if(B27&gt;=50,20,0)</f>
        <v>40</v>
      </c>
      <c r="C29" s="7">
        <f t="shared" si="7"/>
        <v>40</v>
      </c>
      <c r="D29" s="7">
        <f t="shared" si="7"/>
        <v>40</v>
      </c>
      <c r="E29" s="7">
        <f t="shared" si="7"/>
        <v>20</v>
      </c>
      <c r="F29" s="7">
        <f t="shared" si="7"/>
        <v>20</v>
      </c>
      <c r="G29" s="7">
        <f>G27*10</f>
        <v>0</v>
      </c>
      <c r="H29" s="112" t="s">
        <v>319</v>
      </c>
      <c r="I29" s="2">
        <v>15.0</v>
      </c>
      <c r="J29" s="2">
        <f t="shared" si="4"/>
        <v>20</v>
      </c>
      <c r="K29" s="2">
        <v>5.0</v>
      </c>
      <c r="L29" s="2">
        <v>10.0</v>
      </c>
      <c r="M29" s="2">
        <v>-10.0</v>
      </c>
      <c r="N29" s="2" t="s">
        <v>322</v>
      </c>
    </row>
    <row r="30">
      <c r="B30" s="7">
        <f t="shared" ref="B30:G30" si="8">B29/B28</f>
        <v>0.275862069</v>
      </c>
      <c r="C30" s="7">
        <f t="shared" si="8"/>
        <v>0.275862069</v>
      </c>
      <c r="D30" s="7">
        <f t="shared" si="8"/>
        <v>0.275862069</v>
      </c>
      <c r="E30" s="7">
        <f t="shared" si="8"/>
        <v>0.2857142857</v>
      </c>
      <c r="F30" s="7">
        <f t="shared" si="8"/>
        <v>0.2857142857</v>
      </c>
      <c r="G30" s="7" t="str">
        <f t="shared" si="8"/>
        <v>#DIV/0!</v>
      </c>
      <c r="H30" s="112" t="s">
        <v>329</v>
      </c>
      <c r="I30" s="2">
        <v>15.0</v>
      </c>
      <c r="J30" s="2">
        <f t="shared" si="4"/>
        <v>20</v>
      </c>
      <c r="K30" s="7">
        <f t="shared" ref="K30:K36" si="9">max(5,I30+M30)</f>
        <v>5</v>
      </c>
      <c r="L30" s="7">
        <f t="shared" ref="L30:L36" si="10">max(5,J30+M30)</f>
        <v>10</v>
      </c>
      <c r="M30" s="2">
        <v>-10.0</v>
      </c>
    </row>
    <row r="31">
      <c r="A31" s="2" t="s">
        <v>342</v>
      </c>
      <c r="B31" s="7">
        <f>sum(B29:G29)</f>
        <v>160</v>
      </c>
      <c r="H31" s="112" t="s">
        <v>347</v>
      </c>
      <c r="I31" s="2">
        <v>20.0</v>
      </c>
      <c r="J31" s="2">
        <f t="shared" si="4"/>
        <v>25</v>
      </c>
      <c r="K31" s="7">
        <f t="shared" si="9"/>
        <v>10</v>
      </c>
      <c r="L31" s="7">
        <f t="shared" si="10"/>
        <v>15</v>
      </c>
      <c r="M31" s="2">
        <v>-10.0</v>
      </c>
    </row>
    <row r="32">
      <c r="A32" s="2" t="s">
        <v>353</v>
      </c>
      <c r="B32" s="7">
        <f>sum(B28:G28)</f>
        <v>575</v>
      </c>
      <c r="D32" s="7" t="str">
        <f>CONCAT("Level ", ROUND( if(B32&gt;500, if(B32&gt;1250,(B32-1250)/20+100,(B32-500)/15+50),B32/10),0)+1)</f>
        <v>Level 56</v>
      </c>
      <c r="E32" s="7">
        <f>(VALUE( RIGHT(D32,LEN(D32)- FIND(" ",D32,1)))-1)/10+1</f>
        <v>6.5</v>
      </c>
      <c r="H32" s="112" t="s">
        <v>386</v>
      </c>
      <c r="I32" s="2">
        <v>25.0</v>
      </c>
      <c r="J32" s="2">
        <f t="shared" si="4"/>
        <v>30</v>
      </c>
      <c r="K32" s="7">
        <f t="shared" si="9"/>
        <v>10</v>
      </c>
      <c r="L32" s="7">
        <f t="shared" si="10"/>
        <v>15</v>
      </c>
      <c r="M32" s="2">
        <v>-15.0</v>
      </c>
      <c r="N32" s="2" t="s">
        <v>392</v>
      </c>
    </row>
    <row r="33">
      <c r="A33" s="2" t="s">
        <v>393</v>
      </c>
      <c r="B33" s="2">
        <v>40.0</v>
      </c>
      <c r="H33" s="112" t="s">
        <v>395</v>
      </c>
      <c r="I33" s="2">
        <v>25.0</v>
      </c>
      <c r="J33" s="2">
        <f t="shared" si="4"/>
        <v>30</v>
      </c>
      <c r="K33" s="7">
        <f t="shared" si="9"/>
        <v>10</v>
      </c>
      <c r="L33" s="7">
        <f t="shared" si="10"/>
        <v>15</v>
      </c>
      <c r="M33" s="2">
        <v>-15.0</v>
      </c>
    </row>
    <row r="34">
      <c r="H34" s="112" t="s">
        <v>401</v>
      </c>
      <c r="I34" s="2">
        <v>30.0</v>
      </c>
      <c r="J34" s="2">
        <f t="shared" si="4"/>
        <v>35</v>
      </c>
      <c r="K34" s="7">
        <f t="shared" si="9"/>
        <v>15</v>
      </c>
      <c r="L34" s="7">
        <f t="shared" si="10"/>
        <v>20</v>
      </c>
      <c r="M34" s="7">
        <f>M33</f>
        <v>-15</v>
      </c>
    </row>
    <row r="35">
      <c r="D35" s="2">
        <v>114.0</v>
      </c>
      <c r="E35" s="2">
        <v>301.0</v>
      </c>
      <c r="H35" s="112" t="s">
        <v>413</v>
      </c>
      <c r="I35" s="2">
        <v>35.0</v>
      </c>
      <c r="J35" s="2">
        <v>45.0</v>
      </c>
      <c r="K35" s="7">
        <f t="shared" si="9"/>
        <v>15</v>
      </c>
      <c r="L35" s="7">
        <f t="shared" si="10"/>
        <v>25</v>
      </c>
      <c r="M35" s="2">
        <v>-20.0</v>
      </c>
      <c r="N35" s="2" t="s">
        <v>418</v>
      </c>
    </row>
    <row r="36">
      <c r="H36" s="112" t="s">
        <v>421</v>
      </c>
      <c r="I36" s="2">
        <v>40.0</v>
      </c>
      <c r="J36" s="2">
        <v>50.0</v>
      </c>
      <c r="K36" s="7">
        <f t="shared" si="9"/>
        <v>20</v>
      </c>
      <c r="L36" s="7">
        <f t="shared" si="10"/>
        <v>30</v>
      </c>
      <c r="M36" s="2">
        <v>-20.0</v>
      </c>
    </row>
    <row r="37">
      <c r="C37" s="4" t="s">
        <v>426</v>
      </c>
    </row>
    <row r="38">
      <c r="C38" s="47" t="str">
        <f>"45-45-35-20-20+0Bf"</f>
        <v>45-45-35-20-20+0Bf</v>
      </c>
    </row>
    <row r="39">
      <c r="C39" s="47" t="str">
        <f>"35-35-35-20-20+6Bf"</f>
        <v>35-35-35-20-20+6Bf</v>
      </c>
    </row>
  </sheetData>
  <mergeCells count="10">
    <mergeCell ref="F17:F18"/>
    <mergeCell ref="F19:F20"/>
    <mergeCell ref="F21:F22"/>
    <mergeCell ref="D11:E11"/>
    <mergeCell ref="F13:F14"/>
    <mergeCell ref="G13:G14"/>
    <mergeCell ref="H13:H14"/>
    <mergeCell ref="M14:N14"/>
    <mergeCell ref="F15:F16"/>
    <mergeCell ref="M15:N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L2" s="2" t="s">
        <v>0</v>
      </c>
    </row>
    <row r="3">
      <c r="B3" s="2" t="s">
        <v>2</v>
      </c>
      <c r="D3" s="2" t="s">
        <v>4</v>
      </c>
      <c r="E3" s="2" t="s">
        <v>6</v>
      </c>
      <c r="L3" s="3" t="s">
        <v>8</v>
      </c>
      <c r="M3" s="2" t="s">
        <v>13</v>
      </c>
    </row>
    <row r="4">
      <c r="M4" s="2" t="s">
        <v>18</v>
      </c>
    </row>
    <row r="5">
      <c r="L5" s="5" t="s">
        <v>21</v>
      </c>
      <c r="M5" s="2" t="s">
        <v>25</v>
      </c>
    </row>
    <row r="6">
      <c r="M6" s="2" t="s">
        <v>29</v>
      </c>
    </row>
    <row r="7">
      <c r="B7" s="2" t="s">
        <v>31</v>
      </c>
      <c r="L7" s="13" t="s">
        <v>33</v>
      </c>
      <c r="M7" s="2" t="s">
        <v>39</v>
      </c>
    </row>
    <row r="8">
      <c r="M8" s="2" t="s">
        <v>40</v>
      </c>
    </row>
    <row r="9">
      <c r="M9" s="2" t="s">
        <v>41</v>
      </c>
    </row>
    <row r="10">
      <c r="B10" s="15" t="s">
        <v>42</v>
      </c>
      <c r="C10" s="9"/>
      <c r="D10" s="9"/>
      <c r="E10" s="16" t="s">
        <v>44</v>
      </c>
      <c r="F10" s="18"/>
      <c r="G10" s="18"/>
      <c r="H10" s="20" t="s">
        <v>46</v>
      </c>
      <c r="I10" s="21"/>
      <c r="J10" s="21"/>
      <c r="L10" s="23" t="s">
        <v>47</v>
      </c>
      <c r="M10" s="2" t="s">
        <v>49</v>
      </c>
    </row>
    <row r="11">
      <c r="B11" s="2" t="s">
        <v>51</v>
      </c>
      <c r="D11" s="3" t="s">
        <v>8</v>
      </c>
      <c r="E11" s="2" t="s">
        <v>52</v>
      </c>
      <c r="G11" s="3" t="s">
        <v>8</v>
      </c>
      <c r="H11" s="2" t="s">
        <v>54</v>
      </c>
      <c r="J11" s="3" t="s">
        <v>8</v>
      </c>
      <c r="M11" s="2" t="s">
        <v>55</v>
      </c>
    </row>
    <row r="12">
      <c r="H12" s="2" t="s">
        <v>57</v>
      </c>
      <c r="J12" s="3" t="s">
        <v>8</v>
      </c>
      <c r="M12" s="2" t="s">
        <v>59</v>
      </c>
    </row>
    <row r="13">
      <c r="E13" s="2" t="s">
        <v>61</v>
      </c>
      <c r="G13" s="5" t="s">
        <v>21</v>
      </c>
      <c r="H13" s="2" t="s">
        <v>63</v>
      </c>
      <c r="J13" s="5" t="s">
        <v>21</v>
      </c>
      <c r="M13" s="2" t="s">
        <v>64</v>
      </c>
    </row>
    <row r="14">
      <c r="H14" s="2" t="s">
        <v>65</v>
      </c>
      <c r="J14" s="5" t="s">
        <v>21</v>
      </c>
    </row>
    <row r="15">
      <c r="E15" s="2" t="s">
        <v>66</v>
      </c>
      <c r="G15" s="5" t="s">
        <v>21</v>
      </c>
      <c r="H15" s="2" t="s">
        <v>67</v>
      </c>
      <c r="J15" s="5" t="s">
        <v>21</v>
      </c>
    </row>
    <row r="16">
      <c r="E16" s="2" t="s">
        <v>69</v>
      </c>
      <c r="H16" s="2" t="s">
        <v>70</v>
      </c>
      <c r="J16" s="13" t="s">
        <v>33</v>
      </c>
    </row>
    <row r="17">
      <c r="H17" s="2" t="s">
        <v>72</v>
      </c>
      <c r="J17" s="5" t="s">
        <v>21</v>
      </c>
    </row>
    <row r="18">
      <c r="H18" s="2" t="s">
        <v>74</v>
      </c>
      <c r="J18" s="13" t="s">
        <v>33</v>
      </c>
    </row>
    <row r="19">
      <c r="H19" s="2" t="s">
        <v>75</v>
      </c>
      <c r="J19" s="5" t="s">
        <v>21</v>
      </c>
    </row>
    <row r="20">
      <c r="H20" s="2" t="s">
        <v>76</v>
      </c>
      <c r="J20" s="13" t="s">
        <v>33</v>
      </c>
    </row>
    <row r="21">
      <c r="E21" s="2" t="s">
        <v>77</v>
      </c>
      <c r="G21" s="5" t="s">
        <v>21</v>
      </c>
      <c r="H21" s="2" t="s">
        <v>78</v>
      </c>
      <c r="J21" s="5" t="s">
        <v>21</v>
      </c>
    </row>
    <row r="22">
      <c r="H22" s="2" t="s">
        <v>79</v>
      </c>
      <c r="J22" s="13" t="s">
        <v>33</v>
      </c>
    </row>
    <row r="23">
      <c r="E23" s="2" t="s">
        <v>57</v>
      </c>
      <c r="G23" s="5" t="s">
        <v>21</v>
      </c>
      <c r="H23" s="2" t="s">
        <v>82</v>
      </c>
      <c r="J23" s="5" t="s">
        <v>21</v>
      </c>
    </row>
    <row r="24">
      <c r="H24" s="2" t="s">
        <v>85</v>
      </c>
      <c r="J24" s="5" t="s">
        <v>21</v>
      </c>
    </row>
    <row r="25">
      <c r="E25" s="2" t="s">
        <v>86</v>
      </c>
      <c r="G25" s="13" t="s">
        <v>33</v>
      </c>
      <c r="H25" s="2" t="s">
        <v>87</v>
      </c>
      <c r="J25" s="13" t="s">
        <v>33</v>
      </c>
    </row>
    <row r="26">
      <c r="H26" s="2" t="s">
        <v>88</v>
      </c>
      <c r="J26" s="13" t="s">
        <v>33</v>
      </c>
    </row>
    <row r="32">
      <c r="B32" s="15" t="s">
        <v>42</v>
      </c>
      <c r="C32" s="9"/>
      <c r="D32" s="9"/>
      <c r="E32" s="16" t="s">
        <v>44</v>
      </c>
      <c r="F32" s="18"/>
      <c r="G32" s="18"/>
      <c r="H32" s="20" t="s">
        <v>46</v>
      </c>
      <c r="I32" s="21"/>
      <c r="J32" s="21"/>
    </row>
    <row r="33">
      <c r="B33" s="2" t="s">
        <v>90</v>
      </c>
      <c r="D33" s="3" t="s">
        <v>8</v>
      </c>
      <c r="E33" s="2" t="s">
        <v>91</v>
      </c>
      <c r="G33" s="3" t="s">
        <v>8</v>
      </c>
    </row>
    <row r="34">
      <c r="E34" s="2"/>
    </row>
    <row r="35">
      <c r="E35" s="2" t="s">
        <v>94</v>
      </c>
      <c r="G35" s="5" t="s">
        <v>21</v>
      </c>
    </row>
    <row r="36">
      <c r="E36" s="2"/>
    </row>
    <row r="37">
      <c r="E37" s="2" t="s">
        <v>95</v>
      </c>
      <c r="G37" s="5" t="s">
        <v>21</v>
      </c>
    </row>
    <row r="38">
      <c r="E38" s="2"/>
    </row>
    <row r="39">
      <c r="E39" s="2" t="s">
        <v>97</v>
      </c>
      <c r="G39" s="5" t="s">
        <v>21</v>
      </c>
    </row>
    <row r="40">
      <c r="E40" s="2"/>
    </row>
    <row r="41">
      <c r="E41" s="2" t="s">
        <v>98</v>
      </c>
      <c r="G41" s="13" t="s">
        <v>33</v>
      </c>
    </row>
    <row r="42">
      <c r="E42" s="2"/>
    </row>
    <row r="43">
      <c r="E43" s="2" t="s">
        <v>100</v>
      </c>
      <c r="G43" s="13" t="s">
        <v>33</v>
      </c>
    </row>
    <row r="46">
      <c r="B46" s="15" t="s">
        <v>42</v>
      </c>
      <c r="C46" s="9"/>
      <c r="D46" s="9"/>
      <c r="E46" s="16" t="s">
        <v>44</v>
      </c>
      <c r="F46" s="18"/>
      <c r="G46" s="18"/>
      <c r="H46" s="20" t="s">
        <v>46</v>
      </c>
      <c r="I46" s="21"/>
      <c r="J46" s="21"/>
    </row>
    <row r="47">
      <c r="B47" s="2" t="s">
        <v>102</v>
      </c>
      <c r="D47" s="3" t="s">
        <v>8</v>
      </c>
      <c r="E47" s="2" t="s">
        <v>103</v>
      </c>
      <c r="G47" s="3" t="s">
        <v>8</v>
      </c>
    </row>
    <row r="48">
      <c r="E48" s="2" t="s">
        <v>105</v>
      </c>
      <c r="G48" s="3" t="s">
        <v>8</v>
      </c>
    </row>
    <row r="49">
      <c r="E49" s="2" t="s">
        <v>107</v>
      </c>
      <c r="G49" s="5" t="s">
        <v>21</v>
      </c>
    </row>
    <row r="50">
      <c r="E50" s="2" t="s">
        <v>108</v>
      </c>
      <c r="G50" s="5" t="s">
        <v>21</v>
      </c>
    </row>
    <row r="51">
      <c r="E51" s="2" t="s">
        <v>109</v>
      </c>
      <c r="G51" s="13" t="s">
        <v>33</v>
      </c>
    </row>
    <row r="52">
      <c r="E52" s="2" t="s">
        <v>110</v>
      </c>
      <c r="G52" s="13" t="s">
        <v>33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C3" s="2" t="s">
        <v>198</v>
      </c>
    </row>
    <row r="6">
      <c r="C6" s="15" t="s">
        <v>42</v>
      </c>
      <c r="D6" s="9"/>
      <c r="E6" s="9"/>
      <c r="F6" s="16" t="s">
        <v>44</v>
      </c>
      <c r="G6" s="18"/>
      <c r="H6" s="18"/>
      <c r="I6" s="20" t="s">
        <v>46</v>
      </c>
      <c r="J6" s="21"/>
      <c r="K6" s="21"/>
    </row>
    <row r="7">
      <c r="C7" s="2" t="s">
        <v>204</v>
      </c>
      <c r="E7" s="3" t="s">
        <v>8</v>
      </c>
      <c r="F7" s="2" t="s">
        <v>207</v>
      </c>
      <c r="H7" s="3" t="s">
        <v>8</v>
      </c>
      <c r="I7" s="2" t="s">
        <v>208</v>
      </c>
      <c r="K7" s="3" t="s">
        <v>8</v>
      </c>
    </row>
    <row r="8">
      <c r="I8" s="2" t="s">
        <v>213</v>
      </c>
      <c r="K8" s="5" t="s">
        <v>21</v>
      </c>
    </row>
    <row r="9" ht="20.25" customHeight="1">
      <c r="E9" s="2" t="s">
        <v>217</v>
      </c>
      <c r="F9" s="2" t="s">
        <v>219</v>
      </c>
      <c r="H9" s="5" t="s">
        <v>21</v>
      </c>
      <c r="I9" s="2" t="s">
        <v>221</v>
      </c>
      <c r="K9" s="5" t="s">
        <v>21</v>
      </c>
    </row>
    <row r="10" ht="20.25" customHeight="1">
      <c r="I10" s="2" t="s">
        <v>224</v>
      </c>
      <c r="K10" s="13" t="s">
        <v>33</v>
      </c>
    </row>
    <row r="11" ht="20.25" customHeight="1">
      <c r="E11" s="2" t="s">
        <v>217</v>
      </c>
      <c r="F11" s="2" t="s">
        <v>226</v>
      </c>
      <c r="H11" s="3" t="s">
        <v>8</v>
      </c>
      <c r="I11" s="2" t="s">
        <v>227</v>
      </c>
      <c r="K11" s="5" t="s">
        <v>21</v>
      </c>
    </row>
    <row r="12" ht="20.25" customHeight="1">
      <c r="I12" s="2" t="s">
        <v>229</v>
      </c>
      <c r="K12" s="3" t="s">
        <v>8</v>
      </c>
    </row>
    <row r="13" ht="20.25" customHeight="1">
      <c r="E13" s="2" t="s">
        <v>217</v>
      </c>
      <c r="F13" s="2" t="s">
        <v>230</v>
      </c>
      <c r="H13" s="5" t="s">
        <v>21</v>
      </c>
      <c r="I13" s="2" t="s">
        <v>231</v>
      </c>
      <c r="K13" s="5" t="s">
        <v>21</v>
      </c>
    </row>
    <row r="14" ht="20.25" customHeight="1">
      <c r="I14" s="2" t="s">
        <v>232</v>
      </c>
      <c r="K14" s="5" t="s">
        <v>21</v>
      </c>
    </row>
    <row r="15" ht="20.25" customHeight="1">
      <c r="I15" s="2" t="s">
        <v>234</v>
      </c>
      <c r="K15" s="13" t="s">
        <v>33</v>
      </c>
      <c r="M15" s="2" t="s">
        <v>235</v>
      </c>
    </row>
    <row r="16" ht="20.25" customHeight="1">
      <c r="E16" s="2" t="s">
        <v>237</v>
      </c>
      <c r="F16" s="2" t="s">
        <v>238</v>
      </c>
      <c r="H16" s="5" t="s">
        <v>21</v>
      </c>
      <c r="I16" s="2" t="s">
        <v>239</v>
      </c>
      <c r="K16" s="5" t="s">
        <v>21</v>
      </c>
    </row>
    <row r="17" ht="20.25" customHeight="1">
      <c r="I17" s="2" t="s">
        <v>241</v>
      </c>
      <c r="K17" s="5" t="s">
        <v>21</v>
      </c>
    </row>
    <row r="18" ht="20.25" customHeight="1">
      <c r="I18" s="2" t="s">
        <v>242</v>
      </c>
      <c r="K18" s="13" t="s">
        <v>33</v>
      </c>
    </row>
    <row r="19">
      <c r="E19" s="2" t="s">
        <v>237</v>
      </c>
      <c r="F19" s="2" t="s">
        <v>244</v>
      </c>
      <c r="H19" s="3" t="s">
        <v>8</v>
      </c>
      <c r="I19" s="2" t="s">
        <v>245</v>
      </c>
      <c r="K19" s="5" t="s">
        <v>21</v>
      </c>
    </row>
    <row r="20">
      <c r="I20" s="2" t="s">
        <v>247</v>
      </c>
      <c r="K20" s="5" t="s">
        <v>21</v>
      </c>
    </row>
    <row r="21">
      <c r="I21" s="2" t="s">
        <v>249</v>
      </c>
      <c r="K21" s="3" t="s">
        <v>8</v>
      </c>
    </row>
  </sheetData>
  <drawing r:id="rId1"/>
</worksheet>
</file>