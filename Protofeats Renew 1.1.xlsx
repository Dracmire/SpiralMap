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 sheetId="1" r:id="rId4"/>
    <sheet state="visible" name="Groups" sheetId="2" r:id="rId5"/>
    <sheet state="visible" name="List" sheetId="3" r:id="rId6"/>
    <sheet state="visible" name="Sheet1" sheetId="4" r:id="rId7"/>
    <sheet state="visible" name="Skill Detail" sheetId="5" r:id="rId8"/>
    <sheet state="visible" name="Sheet3" sheetId="6" r:id="rId9"/>
    <sheet state="visible" name="BasicSkills" sheetId="7" r:id="rId10"/>
    <sheet state="visible" name="InterSkills" sheetId="8" r:id="rId11"/>
    <sheet state="visible" name="GroupvsSkills" sheetId="9" r:id="rId12"/>
    <sheet state="visible" name="SkillGroup" sheetId="10" r:id="rId13"/>
    <sheet state="visible" name="Sheet6" sheetId="11" r:id="rId14"/>
    <sheet state="visible" name="AttributeData" sheetId="12" r:id="rId15"/>
  </sheets>
  <definedNames/>
  <calcPr/>
  <extLst>
    <ext uri="GoogleSheetsCustomDataVersion2">
      <go:sheetsCustomData xmlns:go="http://customooxmlschemas.google.com/" r:id="rId16" roundtripDataChecksum="qvL/8ZewwU9UuqLlhHG1DhZ/UgZZe+DUWF1gZOKbuYQ="/>
    </ext>
  </extLst>
</workbook>
</file>

<file path=xl/sharedStrings.xml><?xml version="1.0" encoding="utf-8"?>
<sst xmlns="http://schemas.openxmlformats.org/spreadsheetml/2006/main" count="4079" uniqueCount="1577">
  <si>
    <t xml:space="preserve"> </t>
  </si>
  <si>
    <t>Common [C]</t>
  </si>
  <si>
    <t>Uncommon [UC]</t>
  </si>
  <si>
    <t>C   O   M   M   O   N</t>
  </si>
  <si>
    <t>CHA</t>
  </si>
  <si>
    <t>Alternative Normality</t>
  </si>
  <si>
    <t>Weird Whisperer</t>
  </si>
  <si>
    <t>Excentricity</t>
  </si>
  <si>
    <t>Scarecrow</t>
  </si>
  <si>
    <t>Harmless Fatale</t>
  </si>
  <si>
    <t>Threatening Presence</t>
  </si>
  <si>
    <t>Freakshow</t>
  </si>
  <si>
    <t>Non</t>
  </si>
  <si>
    <t>Appearence</t>
  </si>
  <si>
    <t>CAR</t>
  </si>
  <si>
    <t>Damn!, you are scary, your whole deamenor gives you that dangerous look and ungodly aura, and it can be a really useful sometimes</t>
  </si>
  <si>
    <t>Despite your clear lack of charisma, you project a clear aura and image of begin has deadly as a hamster, this triggers protective instincts from people of the "oposite sex" which can be good or bad depending on the circumstance (bad beucase you look unreliable and good beucase you can inspire protective instincts), however anyone that falls into this image/prejudice actively will grant the user a circumstance bonus. its applied to both social and non-social bases circumstances, even a sneak attack will add a bonus. CANNOT be taken with Scarecrow Anti-Perk</t>
  </si>
  <si>
    <t>You look as someone who is dangerous, perhaps a thug, perhaps a criminal or a madman ready to stab someone, in simple terms no one wants to be near you by simple fear of you freaking out in public, even animals will react accordingly and guards will often stop you to ask about your business</t>
  </si>
  <si>
    <t>You cause natural aphaty and rejection from people, its not nesesarily your looks but also you deamenor and voice, all of it composes a very misleading image to the point where you would rather speak behind a curtain. You have a natural "Aggro" aura that confuses and drives anyone to be hostile toward you, this is not applicable to "declared allies" or allies who can identify the user, but most neutral units will be confused and disconserted</t>
  </si>
  <si>
    <t>Aparence</t>
  </si>
  <si>
    <t>Aggro Caller</t>
  </si>
  <si>
    <t>Haunted Crow</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</si>
  <si>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</si>
  <si>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120</t>
    </r>
    <r>
      <rPr>
        <rFont val="Calibri"/>
        <color theme="0"/>
        <sz val="9.0"/>
      </rPr>
      <t xml:space="preserve">: </t>
    </r>
    <r>
      <rPr>
        <rFont val="Calibri"/>
        <color theme="0"/>
        <sz val="8.0"/>
      </rPr>
      <t>cu</t>
    </r>
  </si>
  <si>
    <t>Common[C]                       Anti-Perk</t>
  </si>
  <si>
    <r>
      <rPr>
        <rFont val="Calibri"/>
        <color theme="0"/>
        <sz val="9.0"/>
      </rPr>
      <t xml:space="preserve">* - </t>
    </r>
    <r>
      <rPr>
        <rFont val="Bahnschrift Condensed"/>
        <b/>
        <color theme="0"/>
        <sz val="10.0"/>
      </rPr>
      <t>CAR 110</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</si>
  <si>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</si>
  <si>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</si>
  <si>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Bahnschrift Condensed"/>
        <b/>
        <color rgb="FFFFFF00"/>
        <sz val="10.0"/>
      </rPr>
      <t>Rare</t>
    </r>
    <r>
      <rPr>
        <rFont val="Bahnschrift Condensed"/>
        <b/>
        <color theme="7"/>
        <sz val="10.0"/>
      </rPr>
      <t>[R]</t>
    </r>
    <r>
      <rPr>
        <rFont val="Bahnschrift Condensed"/>
        <color rgb="FFFFFF00"/>
        <sz val="10.0"/>
      </rPr>
      <t xml:space="preserve">                              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</si>
  <si>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</si>
  <si>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</si>
  <si>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</si>
  <si>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</si>
  <si>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r>
      <rPr>
        <rFont val="Bahnschrift Condensed"/>
        <b/>
        <color rgb="FFFFFF00"/>
        <sz val="11.0"/>
      </rPr>
      <t>REQ</t>
    </r>
    <r>
      <rPr>
        <rFont val="Calibri"/>
        <color rgb="FFFFFF00"/>
        <sz val="9.0"/>
      </rPr>
      <t xml:space="preserve">: </t>
    </r>
    <r>
      <rPr>
        <rFont val="Calibri"/>
        <color rgb="FFFFFF00"/>
        <sz val="8.0"/>
      </rPr>
      <t>Intimidating Presence + Stereotyping</t>
    </r>
  </si>
  <si>
    <t>Thrill</t>
  </si>
  <si>
    <t>Devil-s Luck</t>
  </si>
  <si>
    <t>Dangerous Atraction</t>
  </si>
  <si>
    <t>Dare-Devil</t>
  </si>
  <si>
    <t>Innocently Insensitive</t>
  </si>
  <si>
    <t>Unbeliveable</t>
  </si>
  <si>
    <t>Natural Menace</t>
  </si>
  <si>
    <t>Sociophaty for Fun</t>
  </si>
  <si>
    <t>AGI</t>
  </si>
  <si>
    <t>Emphaty</t>
  </si>
  <si>
    <t>a Flawled capacity for emphaty in the ability to detect, decipher and comprehend emotion may be a blessing in disguise, you have a natural resistance toward charisma based attacks such as war cry, intimidation and charm</t>
  </si>
  <si>
    <t>You try your hardest to tell someone the truth but you simply and plainly are rather shady looking and with face saying that "im a scammer",  you are simply unbelibeable but this can work on your advantage as people will regard you as a uncertain factor</t>
  </si>
  <si>
    <t>you project THAT image, you look shady as hell, as if you are scheming something, you are clearly the villian in people's eye. You gain natural reputation toward the vilified and rejections of society, your charisma works as if it was much higher</t>
  </si>
  <si>
    <t>??????</t>
  </si>
  <si>
    <t xml:space="preserve"> - Lame</t>
  </si>
  <si>
    <t xml:space="preserve"> - Lucky Clumsy</t>
  </si>
  <si>
    <t>Feeling</t>
  </si>
  <si>
    <t>Nerd Rage</t>
  </si>
  <si>
    <t>Euphoria</t>
  </si>
  <si>
    <t>Jekil &amp; Hyde</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</si>
  <si>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</si>
  <si>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120</t>
    </r>
    <r>
      <rPr>
        <rFont val="Calibri"/>
        <color theme="0"/>
        <sz val="9.0"/>
      </rPr>
      <t xml:space="preserve">: </t>
    </r>
    <r>
      <rPr>
        <rFont val="Calibri"/>
        <color theme="0"/>
        <sz val="8.0"/>
      </rPr>
      <t>cu</t>
    </r>
  </si>
  <si>
    <r>
      <rPr>
        <rFont val="Calibri"/>
        <color theme="0"/>
        <sz val="9.0"/>
      </rPr>
      <t xml:space="preserve">* - </t>
    </r>
    <r>
      <rPr>
        <rFont val="Bahnschrift Condensed"/>
        <b/>
        <color theme="0"/>
        <sz val="10.0"/>
      </rPr>
      <t>CAR 110</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</si>
  <si>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</si>
  <si>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</si>
  <si>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Bahnschrift Condensed"/>
        <b/>
        <color rgb="FFFFFF00"/>
        <sz val="10.0"/>
      </rPr>
      <t>Rare</t>
    </r>
    <r>
      <rPr>
        <rFont val="Bahnschrift Condensed"/>
        <b/>
        <color theme="7"/>
        <sz val="10.0"/>
      </rPr>
      <t>[R]</t>
    </r>
    <r>
      <rPr>
        <rFont val="Bahnschrift Condensed"/>
        <b/>
        <color rgb="FFFFFF00"/>
        <sz val="10.0"/>
      </rPr>
      <t xml:space="preserve">   </t>
    </r>
    <r>
      <rPr>
        <rFont val="Bahnschrift Condensed"/>
        <color rgb="FFFFFF00"/>
        <sz val="10.0"/>
      </rPr>
      <t xml:space="preserve">                           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</si>
  <si>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</si>
  <si>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t xml:space="preserve"> - Trembling nads</t>
  </si>
  <si>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</si>
  <si>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</si>
  <si>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</si>
  <si>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r>
      <rPr>
        <rFont val="Bahnschrift Condensed"/>
        <b/>
        <color rgb="FFFFFF00"/>
        <sz val="11.0"/>
      </rPr>
      <t>REQ</t>
    </r>
    <r>
      <rPr>
        <rFont val="Calibri"/>
        <color rgb="FFFFFF00"/>
        <sz val="9.0"/>
      </rPr>
      <t xml:space="preserve">: </t>
    </r>
    <r>
      <rPr>
        <rFont val="Calibri"/>
        <color rgb="FFFFFF00"/>
        <sz val="8.0"/>
      </rPr>
      <t>Natural Menace + Dangerous Attraction</t>
    </r>
  </si>
  <si>
    <t xml:space="preserve"> - Klurtz</t>
  </si>
  <si>
    <t xml:space="preserve"> - Slow Mo</t>
  </si>
  <si>
    <t>Comm</t>
  </si>
  <si>
    <t>DeadPan</t>
  </si>
  <si>
    <t>Insensitive</t>
  </si>
  <si>
    <t>Unimportant</t>
  </si>
  <si>
    <t>Motormouth</t>
  </si>
  <si>
    <t>Noise Cancel</t>
  </si>
  <si>
    <t>The Bore</t>
  </si>
  <si>
    <t>Gargoyle Mumbling</t>
  </si>
  <si>
    <t>Communication</t>
  </si>
  <si>
    <t xml:space="preserve">you speak unnaturally fast, you mouth also moves before you think!, its easy to screw things up but in exchange you reduce the time used for the "Verbal" component of most actions, any pure verbal action will be reduced in execution by 60%, while any action with a partial verbal component is reduced by 30% in average. </t>
  </si>
  <si>
    <t>Your words have a particular tone and accent which people find annoying, its like a screech in the background or a white noise that plays as you talk. However, your mouth has the power to cancel other charisma attacks or intercept sound based debacles. You got a group falling asleep for a hypnotic lullaby, then just talk normally and the effect will dminish or be cancelled altogether</t>
  </si>
  <si>
    <t>This is a person whose conversation is so dull, you would rather watch paint dry for an hour than listen to them for a minute. This works like a charm as a Charisma based attack toward the "Willpower" attribute, temporarily reducing the enemy attribute and even softening any mental resilence by lowering the awareness</t>
  </si>
  <si>
    <t>cdc</t>
  </si>
  <si>
    <t>WIL</t>
  </si>
  <si>
    <t>Focus</t>
  </si>
  <si>
    <t>Useful Compulsion</t>
  </si>
  <si>
    <t>Positive Obsesion</t>
  </si>
  <si>
    <t>Adictive Enlightment</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</si>
  <si>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</si>
  <si>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120</t>
    </r>
    <r>
      <rPr>
        <rFont val="Calibri"/>
        <color theme="0"/>
        <sz val="9.0"/>
      </rPr>
      <t xml:space="preserve">: </t>
    </r>
    <r>
      <rPr>
        <rFont val="Calibri"/>
        <color theme="0"/>
        <sz val="8.0"/>
      </rPr>
      <t>cu</t>
    </r>
  </si>
  <si>
    <r>
      <rPr>
        <rFont val="Calibri"/>
        <color theme="0"/>
        <sz val="9.0"/>
      </rPr>
      <t xml:space="preserve">* - </t>
    </r>
    <r>
      <rPr>
        <rFont val="Bahnschrift Condensed"/>
        <b/>
        <color theme="0"/>
        <sz val="10.0"/>
      </rPr>
      <t>CAR 110</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</si>
  <si>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</si>
  <si>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</si>
  <si>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Bahnschrift Condensed"/>
        <b/>
        <color rgb="FFFFFF00"/>
        <sz val="10.0"/>
      </rPr>
      <t>Rare</t>
    </r>
    <r>
      <rPr>
        <rFont val="Bahnschrift Condensed"/>
        <b/>
        <color theme="7"/>
        <sz val="10.0"/>
      </rPr>
      <t>[R]</t>
    </r>
    <r>
      <rPr>
        <rFont val="Bahnschrift Condensed"/>
        <b/>
        <color rgb="FFFFFF00"/>
        <sz val="10.0"/>
      </rPr>
      <t xml:space="preserve">   </t>
    </r>
    <r>
      <rPr>
        <rFont val="Bahnschrift Condensed"/>
        <color rgb="FFFFFF00"/>
        <sz val="10.0"/>
      </rPr>
      <t xml:space="preserve">                           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</si>
  <si>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</si>
  <si>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</si>
  <si>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</si>
  <si>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</si>
  <si>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r>
      <rPr>
        <rFont val="Bahnschrift Condensed"/>
        <b/>
        <color rgb="FFFFFF00"/>
        <sz val="11.0"/>
      </rPr>
      <t>REQ</t>
    </r>
    <r>
      <rPr>
        <rFont val="Calibri"/>
        <color rgb="FFFFFF00"/>
        <sz val="9.0"/>
      </rPr>
      <t xml:space="preserve">: </t>
    </r>
    <r>
      <rPr>
        <rFont val="Calibri"/>
        <color rgb="FFFFFF00"/>
        <sz val="8.0"/>
      </rPr>
      <t xml:space="preserve">The Bore + Scarecrow </t>
    </r>
  </si>
  <si>
    <t>Whisperer Chain</t>
  </si>
  <si>
    <t>Silence is Gold</t>
  </si>
  <si>
    <t>Stone Mask</t>
  </si>
  <si>
    <t>Silent Accomplice</t>
  </si>
  <si>
    <t>Silence</t>
  </si>
  <si>
    <t>your words lose power the more you talk, anything more than 5 words makes your words become weak and dilluited as if your voice was drowned into a whisper.</t>
  </si>
  <si>
    <t>When you are silent and not moving, you produce a special charisma based aura effect, this aura effect varies according to the other people mood, in other words, some people will see the person as scary and some will feel him begin imposing, while others will feel presured, its all in the imagination of the onlooker, however, the mood in the room will affect this effect in great measure. A character with high willpower score 350+ are inmune to this effect. This effect is mantained as long as the user is silent and his actions work in line with the target perception</t>
  </si>
  <si>
    <t>Your face is disconected from your emotional side just enough so it becomes your personal trademark. your heart burns but your face never shows, this leads to a heightened dificulty on "Sense motive" against you and other skill that read the character mood a severe penalty to skills used to express your emotions</t>
  </si>
  <si>
    <t>?????</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</si>
  <si>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</si>
  <si>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120</t>
    </r>
    <r>
      <rPr>
        <rFont val="Calibri"/>
        <color theme="0"/>
        <sz val="9.0"/>
      </rPr>
      <t xml:space="preserve">: </t>
    </r>
    <r>
      <rPr>
        <rFont val="Calibri"/>
        <color theme="0"/>
        <sz val="8.0"/>
      </rPr>
      <t>cu</t>
    </r>
  </si>
  <si>
    <r>
      <rPr>
        <rFont val="Calibri"/>
        <color theme="0"/>
        <sz val="9.0"/>
      </rPr>
      <t xml:space="preserve">* - </t>
    </r>
    <r>
      <rPr>
        <rFont val="Bahnschrift Condensed"/>
        <b/>
        <color theme="0"/>
        <sz val="10.0"/>
      </rPr>
      <t>CAR 110</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</si>
  <si>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</si>
  <si>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</si>
  <si>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Bahnschrift Condensed"/>
        <b/>
        <color rgb="FFFFFF00"/>
        <sz val="10.0"/>
      </rPr>
      <t>Rare</t>
    </r>
    <r>
      <rPr>
        <rFont val="Bahnschrift Condensed"/>
        <b/>
        <color theme="7"/>
        <sz val="10.0"/>
      </rPr>
      <t>[R]</t>
    </r>
    <r>
      <rPr>
        <rFont val="Bahnschrift Condensed"/>
        <color rgb="FFFFFF00"/>
        <sz val="10.0"/>
      </rPr>
      <t xml:space="preserve">                              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</si>
  <si>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</si>
  <si>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</si>
  <si>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</si>
  <si>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</si>
  <si>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r>
      <rPr>
        <rFont val="Bahnschrift Condensed"/>
        <b/>
        <color rgb="FFFFFF00"/>
        <sz val="11.0"/>
      </rPr>
      <t>REQ</t>
    </r>
    <r>
      <rPr>
        <rFont val="Calibri"/>
        <color rgb="FFFFFF00"/>
        <sz val="9.0"/>
      </rPr>
      <t xml:space="preserve">: </t>
    </r>
    <r>
      <rPr>
        <rFont val="Calibri"/>
        <color rgb="FFFFFF00"/>
        <sz val="8.0"/>
      </rPr>
      <t>Stone Mask +Clown Ears</t>
    </r>
  </si>
  <si>
    <t xml:space="preserve"> Stereotyping</t>
  </si>
  <si>
    <t xml:space="preserve"> Clown Ears</t>
  </si>
  <si>
    <t>Karmic Hideout</t>
  </si>
  <si>
    <t>Almost Faceless</t>
  </si>
  <si>
    <t>Prejudice</t>
  </si>
  <si>
    <t>Whenever you can fall into a stereotype your mark believes in (such as that orcs are brutal and cruel, women are scared and helpless, or that halflings are all thieves, etc.), you end up fitting and flowing with it thus againing advantage in social instances.  This bonus is not cumulative if several prejudices can be used at once. For example, if your mark believes that halflings are scared and helpless, and that women are also scared and helpless you will only gain one single prejudice type even if you have both qualities (woman and halfling in the example). but this breaks once you take a clear action that defies this notion.</t>
  </si>
  <si>
    <t>you apear to be a natural clown in your responses and deamenor, and due to your low charisma this makes others perceive you as a joke. However in exchange people will become talkactive and easily confide in you, sometimes beyond their own will</t>
  </si>
  <si>
    <t>you have such low charisma and your actions are so clearly directed with prejudice that they hide a single truth: your alignment becomes obscured, and it cannot be exactly judged from your actions. With the exception of clear cut actions such as murder most people will classify you as morally grey and have different views on your alignment and general disposition, this not only obscures the alignment itself but also some traits such as a killer bloodlust or a paladin goodness</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</si>
  <si>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</si>
  <si>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120</t>
    </r>
    <r>
      <rPr>
        <rFont val="Calibri"/>
        <color theme="0"/>
        <sz val="9.0"/>
      </rPr>
      <t xml:space="preserve">: </t>
    </r>
    <r>
      <rPr>
        <rFont val="Calibri"/>
        <color theme="0"/>
        <sz val="8.0"/>
      </rPr>
      <t>cu</t>
    </r>
  </si>
  <si>
    <r>
      <rPr>
        <rFont val="Calibri"/>
        <color theme="0"/>
        <sz val="9.0"/>
      </rPr>
      <t xml:space="preserve">* - </t>
    </r>
    <r>
      <rPr>
        <rFont val="Bahnschrift Condensed"/>
        <b/>
        <color theme="0"/>
        <sz val="10.0"/>
      </rPr>
      <t>CAR 110</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</si>
  <si>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</si>
  <si>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</si>
  <si>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Bahnschrift Condensed"/>
        <b/>
        <color rgb="FFFFFF00"/>
        <sz val="10.0"/>
      </rPr>
      <t>Rare</t>
    </r>
    <r>
      <rPr>
        <rFont val="Bahnschrift Condensed"/>
        <b/>
        <color theme="7"/>
        <sz val="10.0"/>
      </rPr>
      <t>[R]</t>
    </r>
    <r>
      <rPr>
        <rFont val="Bahnschrift Condensed"/>
        <color rgb="FFFFFF00"/>
        <sz val="10.0"/>
      </rPr>
      <t xml:space="preserve">                              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</si>
  <si>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</si>
  <si>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</si>
  <si>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</si>
  <si>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</si>
  <si>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r>
      <rPr>
        <rFont val="Bahnschrift Condensed"/>
        <b/>
        <color rgb="FFFFFF00"/>
        <sz val="11.0"/>
      </rPr>
      <t>REQ</t>
    </r>
    <r>
      <rPr>
        <rFont val="Calibri"/>
        <color rgb="FFFFFF00"/>
        <sz val="9.0"/>
      </rPr>
      <t>: Karmic Hideout + Bland</t>
    </r>
  </si>
  <si>
    <t>Bland</t>
  </si>
  <si>
    <t>Innate Troll</t>
  </si>
  <si>
    <t>Storm Caller</t>
  </si>
  <si>
    <t>You tend to attract the attention of the wrong crowd, and even when doing nothing will become socially interwited with people of questionable nature and dangerous inclination</t>
  </si>
  <si>
    <t>You have no features, no distinctive presence you are almost forgeteable, and this can become a blessing to you. Bland makes the user hard to identify and easily pass unnoticed when walking in a crowd. You gain a  passive stealth bonus when moving  in a group of people, moreover, you add a hard penalty to identify or mark you</t>
  </si>
  <si>
    <t>you easily speak the wrong things and have the uncanny nature to call into social problems, you will make exactly the wrong comment at the wrong time, and sometimes unknownly you will simply step on the proverbial dragons tail just by doing something completly mundane, its a curse and sometimes a boon</t>
  </si>
  <si>
    <t>????</t>
  </si>
  <si>
    <t>Magnetism</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</si>
  <si>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</si>
  <si>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120</t>
    </r>
    <r>
      <rPr>
        <rFont val="Calibri"/>
        <color theme="0"/>
        <sz val="9.0"/>
      </rPr>
      <t xml:space="preserve">: </t>
    </r>
    <r>
      <rPr>
        <rFont val="Calibri"/>
        <color theme="0"/>
        <sz val="8.0"/>
      </rPr>
      <t>cu</t>
    </r>
  </si>
  <si>
    <r>
      <rPr>
        <rFont val="Calibri"/>
        <color theme="0"/>
        <sz val="9.0"/>
      </rPr>
      <t xml:space="preserve">* - </t>
    </r>
    <r>
      <rPr>
        <rFont val="Bahnschrift Condensed"/>
        <b/>
        <color theme="0"/>
        <sz val="10.0"/>
      </rPr>
      <t>CAR 110</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</si>
  <si>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</si>
  <si>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</si>
  <si>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Bahnschrift Condensed"/>
        <b/>
        <color rgb="FFFFFF00"/>
        <sz val="10.0"/>
      </rPr>
      <t>Rare</t>
    </r>
    <r>
      <rPr>
        <rFont val="Bahnschrift Condensed"/>
        <b/>
        <color theme="7"/>
        <sz val="10.0"/>
      </rPr>
      <t>[R]</t>
    </r>
    <r>
      <rPr>
        <rFont val="Bahnschrift Condensed"/>
        <color rgb="FFFFFF00"/>
        <sz val="10.0"/>
      </rPr>
      <t xml:space="preserve">                              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</si>
  <si>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</si>
  <si>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</si>
  <si>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</si>
  <si>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</si>
  <si>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r>
      <rPr>
        <rFont val="Bahnschrift Condensed"/>
        <b/>
        <color rgb="FFFFFF00"/>
        <sz val="11.0"/>
      </rPr>
      <t>REQ</t>
    </r>
    <r>
      <rPr>
        <rFont val="Calibri"/>
        <color rgb="FFFFFF00"/>
        <sz val="9.0"/>
      </rPr>
      <t xml:space="preserve">: </t>
    </r>
    <r>
      <rPr>
        <rFont val="Calibri"/>
        <color rgb="FFFFFF00"/>
        <sz val="8.0"/>
      </rPr>
      <t>Innate Troll + Innocently Insensitive</t>
    </r>
  </si>
  <si>
    <t>Cowardice</t>
  </si>
  <si>
    <t>Practical Cowardice</t>
  </si>
  <si>
    <t>Fear Trigger</t>
  </si>
  <si>
    <t>Clever Idiot</t>
  </si>
  <si>
    <t>Lucky Idiot</t>
  </si>
  <si>
    <t>INT</t>
  </si>
  <si>
    <t>The Fool's strength is almost a supernatural fortune bordering on Karma. Since The Fool is such a person, nothing bad happens to him</t>
  </si>
  <si>
    <t>Idiot</t>
  </si>
  <si>
    <t>Curse Magnet</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</si>
  <si>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</si>
  <si>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INT 115</t>
    </r>
    <r>
      <rPr>
        <rFont val="Calibri"/>
        <color theme="0"/>
        <sz val="9.0"/>
      </rPr>
      <t xml:space="preserve">: </t>
    </r>
    <r>
      <rPr>
        <rFont val="Calibri"/>
        <color theme="0"/>
        <sz val="8.0"/>
      </rPr>
      <t>cu</t>
    </r>
  </si>
  <si>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</si>
  <si>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100</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</si>
  <si>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</si>
  <si>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</si>
  <si>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</si>
  <si>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</si>
  <si>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</si>
  <si>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r>
      <rPr>
        <rFont val="Bahnschrift Condensed"/>
        <b/>
        <color rgb="FFFFFF00"/>
        <sz val="10.0"/>
      </rPr>
      <t>Rare</t>
    </r>
    <r>
      <rPr>
        <rFont val="Bahnschrift Condensed"/>
        <b/>
        <color theme="7"/>
        <sz val="10.0"/>
      </rPr>
      <t>[R]</t>
    </r>
    <r>
      <rPr>
        <rFont val="Bahnschrift Condensed"/>
        <b/>
        <color rgb="FFFFFF00"/>
        <sz val="10.0"/>
      </rPr>
      <t xml:space="preserve">   </t>
    </r>
    <r>
      <rPr>
        <rFont val="Bahnschrift Condensed"/>
        <color rgb="FFFFFF00"/>
        <sz val="10.0"/>
      </rPr>
      <t xml:space="preserve">                           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</si>
  <si>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</si>
  <si>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t>Primal Impulse</t>
  </si>
  <si>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</si>
  <si>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t>Instinct</t>
  </si>
  <si>
    <t>La razon bloquea el camino hacia la naturaleza instintiva, interna y primitiva, el impulso primal conecta con los antiguos instinto dormidos para bien o para mal</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</si>
  <si>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</si>
  <si>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110</t>
    </r>
    <r>
      <rPr>
        <rFont val="Calibri"/>
        <color theme="0"/>
        <sz val="9.0"/>
      </rPr>
      <t xml:space="preserve">: </t>
    </r>
    <r>
      <rPr>
        <rFont val="Calibri"/>
        <color theme="0"/>
        <sz val="8.0"/>
      </rPr>
      <t>cu</t>
    </r>
  </si>
  <si>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</si>
  <si>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110</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</si>
  <si>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</si>
  <si>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</si>
  <si>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</si>
  <si>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</si>
  <si>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</si>
  <si>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t>Idea</t>
  </si>
  <si>
    <t>Ignorance is Power</t>
  </si>
  <si>
    <t>Thought Police</t>
  </si>
  <si>
    <t>Double-Thinking</t>
  </si>
  <si>
    <t>Innocent Judgement</t>
  </si>
  <si>
    <r>
      <rPr>
        <rFont val="Bahnschrift Condensed"/>
        <b/>
        <color rgb="FFFFFF00"/>
        <sz val="10.0"/>
      </rPr>
      <t>Rare</t>
    </r>
    <r>
      <rPr>
        <rFont val="Bahnschrift Condensed"/>
        <b/>
        <color theme="7"/>
        <sz val="10.0"/>
      </rPr>
      <t>[R]</t>
    </r>
    <r>
      <rPr>
        <rFont val="Bahnschrift Condensed"/>
        <color rgb="FFFFFF00"/>
        <sz val="10.0"/>
      </rPr>
      <t xml:space="preserve">                              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</si>
  <si>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</si>
  <si>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t>You see the evil in their eyes, the cockiness in that smirk, and the deceit in their voices that some of the other characters just can't see</t>
  </si>
  <si>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</si>
  <si>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t>Judgement</t>
  </si>
  <si>
    <t>Primary Impulse</t>
  </si>
  <si>
    <t>Reason Free</t>
  </si>
  <si>
    <r>
      <rPr>
        <rFont val="Bahnschrift Light Condensed"/>
        <color theme="1"/>
        <sz val="11.0"/>
      </rPr>
      <t xml:space="preserve">Align: </t>
    </r>
    <r>
      <rPr>
        <rFont val="Bahnschrift Light Condensed"/>
        <b/>
        <color theme="1"/>
        <sz val="11.0"/>
      </rPr>
      <t>GOOD</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</si>
  <si>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Gain a +5 aganist evil aligned characters in matters regarding social judgement, such as bluffing, diplomacy, negotiation, or simply by etc. Your character simply doubts and guards aganist these people by mistrusting them altogether. The user does not know who is evil actually or anything from the get go, but the skill activates when interacting in such a way where the target triest to convince the user in some way</t>
    </r>
  </si>
  <si>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</si>
  <si>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120</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</si>
  <si>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</si>
  <si>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</si>
  <si>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</si>
  <si>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INT 110</t>
    </r>
    <r>
      <rPr>
        <rFont val="Calibri"/>
        <color theme="0"/>
        <sz val="9.0"/>
      </rPr>
      <t xml:space="preserve">: </t>
    </r>
    <r>
      <rPr>
        <rFont val="Calibri"/>
        <color theme="0"/>
        <sz val="8.0"/>
      </rPr>
      <t xml:space="preserve">bonus aganist to a total of +10 aganist evil, and +2 aganist neutral </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</si>
  <si>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</si>
  <si>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</si>
  <si>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Tiendes a ser credulo con personajes de alineamiento bueno, tu resistencia a diplomacia, bluff, regateo o simplemente el pasar juicio imparcial sobre algun tema te quita -5 pts. Esto implica que para alguien de INT 140, su capacidad pasiva de "judgement" o juicio imparcial es tan solo "3" o menos</t>
    </r>
  </si>
  <si>
    <t>smart</t>
  </si>
  <si>
    <t>Enlighted Idiot</t>
  </si>
  <si>
    <t>PER</t>
  </si>
  <si>
    <t>Naive Logic</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</si>
  <si>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</si>
  <si>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100</t>
    </r>
    <r>
      <rPr>
        <rFont val="Calibri"/>
        <color theme="0"/>
        <sz val="9.0"/>
      </rPr>
      <t xml:space="preserve">: </t>
    </r>
    <r>
      <rPr>
        <rFont val="Calibri"/>
        <color theme="0"/>
        <sz val="8.0"/>
      </rPr>
      <t>cu</t>
    </r>
  </si>
  <si>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</si>
  <si>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100</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</si>
  <si>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</si>
  <si>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</si>
  <si>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</si>
  <si>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</si>
  <si>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</si>
  <si>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r>
      <rPr>
        <rFont val="Bahnschrift Condensed"/>
        <color rgb="FFFFFF00"/>
        <sz val="10.0"/>
      </rPr>
      <t>Rare</t>
    </r>
    <r>
      <rPr>
        <rFont val="Bahnschrift Condensed"/>
        <color theme="7"/>
        <sz val="10.0"/>
      </rPr>
      <t>[R]</t>
    </r>
    <r>
      <rPr>
        <rFont val="Bahnschrift Condensed"/>
        <color theme="0"/>
        <sz val="10.0"/>
      </rPr>
      <t xml:space="preserve">                              </t>
    </r>
    <r>
      <rPr>
        <rFont val="Bahnschrift Condensed"/>
        <color rgb="FFFFFF00"/>
        <sz val="10.0"/>
      </rPr>
      <t>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</si>
  <si>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</si>
  <si>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t>coherence</t>
  </si>
  <si>
    <t>Wrong Logic</t>
  </si>
  <si>
    <t>Self-Deception</t>
  </si>
  <si>
    <t>Blind Zealotry</t>
  </si>
  <si>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</si>
  <si>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</si>
  <si>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100</t>
    </r>
    <r>
      <rPr>
        <rFont val="Calibri"/>
        <color theme="0"/>
        <sz val="9.0"/>
      </rPr>
      <t xml:space="preserve">: </t>
    </r>
    <r>
      <rPr>
        <rFont val="Calibri"/>
        <color theme="0"/>
        <sz val="8.0"/>
      </rPr>
      <t>cu</t>
    </r>
  </si>
  <si>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</si>
  <si>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110</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</si>
  <si>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</si>
  <si>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</si>
  <si>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</si>
  <si>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</si>
  <si>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</si>
  <si>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t>RARE</t>
  </si>
  <si>
    <t>Orwellian Nature</t>
  </si>
  <si>
    <t>???</t>
  </si>
  <si>
    <r>
      <rPr>
        <rFont val="Bahnschrift Condensed"/>
        <color rgb="FFFFFF00"/>
        <sz val="10.0"/>
      </rPr>
      <t>Rare</t>
    </r>
    <r>
      <rPr>
        <rFont val="Bahnschrift Condensed"/>
        <color theme="7"/>
        <sz val="10.0"/>
      </rPr>
      <t>[R]</t>
    </r>
    <r>
      <rPr>
        <rFont val="Bahnschrift Condensed"/>
        <color theme="0"/>
        <sz val="10.0"/>
      </rPr>
      <t xml:space="preserve">                              </t>
    </r>
    <r>
      <rPr>
        <rFont val="Bahnschrift Condensed"/>
        <color rgb="FFFFFF00"/>
        <sz val="10.0"/>
      </rPr>
      <t>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</si>
  <si>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</si>
  <si>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</si>
  <si>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</si>
  <si>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100</t>
    </r>
    <r>
      <rPr>
        <rFont val="Calibri"/>
        <color theme="0"/>
        <sz val="9.0"/>
      </rPr>
      <t xml:space="preserve">: </t>
    </r>
    <r>
      <rPr>
        <rFont val="Calibri"/>
        <color theme="0"/>
        <sz val="8.0"/>
      </rPr>
      <t>cu</t>
    </r>
  </si>
  <si>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</si>
  <si>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120</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</si>
  <si>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</si>
  <si>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</si>
  <si>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</si>
  <si>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</si>
  <si>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</si>
  <si>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t>Philosopher Fool</t>
  </si>
  <si>
    <t>STR</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</si>
  <si>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</si>
  <si>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100</t>
    </r>
    <r>
      <rPr>
        <rFont val="Calibri"/>
        <color theme="0"/>
        <sz val="9.0"/>
      </rPr>
      <t xml:space="preserve">: </t>
    </r>
    <r>
      <rPr>
        <rFont val="Calibri"/>
        <color theme="0"/>
        <sz val="8.0"/>
      </rPr>
      <t>cu</t>
    </r>
  </si>
  <si>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</si>
  <si>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100</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</si>
  <si>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</si>
  <si>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</si>
  <si>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</si>
  <si>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</si>
  <si>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</si>
  <si>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t>Misplaced Faith</t>
  </si>
  <si>
    <r>
      <rPr>
        <rFont val="Bahnschrift Condensed"/>
        <color rgb="FFFFFF00"/>
        <sz val="10.0"/>
      </rPr>
      <t>Rare</t>
    </r>
    <r>
      <rPr>
        <rFont val="Bahnschrift Condensed"/>
        <color theme="7"/>
        <sz val="10.0"/>
      </rPr>
      <t>[R]</t>
    </r>
    <r>
      <rPr>
        <rFont val="Bahnschrift Condensed"/>
        <color theme="0"/>
        <sz val="10.0"/>
      </rPr>
      <t xml:space="preserve">                              </t>
    </r>
    <r>
      <rPr>
        <rFont val="Bahnschrift Condensed"/>
        <color rgb="FFFFFF00"/>
        <sz val="10.0"/>
      </rPr>
      <t>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</si>
  <si>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</si>
  <si>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</si>
  <si>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</si>
  <si>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100</t>
    </r>
    <r>
      <rPr>
        <rFont val="Calibri"/>
        <color theme="0"/>
        <sz val="9.0"/>
      </rPr>
      <t xml:space="preserve">: </t>
    </r>
    <r>
      <rPr>
        <rFont val="Calibri"/>
        <color theme="0"/>
        <sz val="8.0"/>
      </rPr>
      <t>cu</t>
    </r>
  </si>
  <si>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</si>
  <si>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110</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</si>
  <si>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</si>
  <si>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</si>
  <si>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</si>
  <si>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</si>
  <si>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</si>
  <si>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r>
      <rPr>
        <rFont val="Bahnschrift Condensed"/>
        <color rgb="FFFFFF00"/>
        <sz val="10.0"/>
      </rPr>
      <t>Rare</t>
    </r>
    <r>
      <rPr>
        <rFont val="Bahnschrift Condensed"/>
        <color theme="7"/>
        <sz val="10.0"/>
      </rPr>
      <t>[R]</t>
    </r>
    <r>
      <rPr>
        <rFont val="Bahnschrift Condensed"/>
        <color theme="0"/>
        <sz val="10.0"/>
      </rPr>
      <t xml:space="preserve">                              </t>
    </r>
    <r>
      <rPr>
        <rFont val="Bahnschrift Condensed"/>
        <color rgb="FFFFFF00"/>
        <sz val="10.0"/>
      </rPr>
      <t>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</si>
  <si>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</si>
  <si>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</si>
  <si>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</si>
  <si>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100</t>
    </r>
    <r>
      <rPr>
        <rFont val="Calibri"/>
        <color theme="0"/>
        <sz val="9.0"/>
      </rPr>
      <t xml:space="preserve">: </t>
    </r>
    <r>
      <rPr>
        <rFont val="Calibri"/>
        <color theme="0"/>
        <sz val="8.0"/>
      </rPr>
      <t>cu</t>
    </r>
  </si>
  <si>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</si>
  <si>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CAR 120</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</si>
  <si>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</si>
  <si>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</si>
  <si>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</si>
  <si>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</si>
  <si>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</si>
  <si>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t>Cynical Ruling</t>
  </si>
  <si>
    <t>Tinfoil Hatter</t>
  </si>
  <si>
    <t>the world is big and very magical, but you just cannot see that side, your character will normalize supernatural phenomena and be exceptical about most magical phenomena. This is very good when dealing with supernatural fears and nightmares as the user will simply reject them altogether in most cases</t>
  </si>
  <si>
    <t>You are that guy, the one who is or was ambrushed by aliens/magical races/traveled in time and thus become aware of a very dangerous aspect of the world. You can actually use your pseudo-paranoia to find the strangest things since you are actually looking for them</t>
  </si>
  <si>
    <t>Weird</t>
  </si>
  <si>
    <t>Supernat</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</si>
  <si>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</si>
  <si>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WIL 120</t>
    </r>
    <r>
      <rPr>
        <rFont val="Calibri"/>
        <color theme="0"/>
        <sz val="9.0"/>
      </rPr>
      <t xml:space="preserve">: </t>
    </r>
    <r>
      <rPr>
        <rFont val="Calibri"/>
        <color theme="0"/>
        <sz val="8.0"/>
      </rPr>
      <t>cu</t>
    </r>
  </si>
  <si>
    <r>
      <rPr>
        <rFont val="Calibri"/>
        <color theme="0"/>
        <sz val="9.0"/>
      </rPr>
      <t xml:space="preserve">* - </t>
    </r>
    <r>
      <rPr>
        <rFont val="Bahnschrift Condensed"/>
        <b/>
        <color theme="0"/>
        <sz val="10.0"/>
      </rPr>
      <t>CAR 105</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</si>
  <si>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</si>
  <si>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</si>
  <si>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Bahnschrift Condensed"/>
        <b/>
        <color rgb="FFFFFF00"/>
        <sz val="10.0"/>
      </rPr>
      <t>Rare</t>
    </r>
    <r>
      <rPr>
        <rFont val="Bahnschrift Condensed"/>
        <b/>
        <color theme="7"/>
        <sz val="10.0"/>
      </rPr>
      <t>[R]</t>
    </r>
    <r>
      <rPr>
        <rFont val="Bahnschrift Condensed"/>
        <b/>
        <color rgb="FFFFFF00"/>
        <sz val="10.0"/>
      </rPr>
      <t xml:space="preserve">   </t>
    </r>
    <r>
      <rPr>
        <rFont val="Bahnschrift Condensed"/>
        <color rgb="FFFFFF00"/>
        <sz val="10.0"/>
      </rPr>
      <t xml:space="preserve">                           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</si>
  <si>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</si>
  <si>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</si>
  <si>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</si>
  <si>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</si>
  <si>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</si>
  <si>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t>Hyper Optimist</t>
  </si>
  <si>
    <t>Spiteful Crisis</t>
  </si>
  <si>
    <t>Weird World</t>
  </si>
  <si>
    <t>Happy Camper</t>
  </si>
  <si>
    <t>Power Spot</t>
  </si>
  <si>
    <t>supernat</t>
  </si>
  <si>
    <t>Some people say that you have no pride as you are very capable of ignoring slangs and insults. This is beucase you are convinced that your are weak by nature (regardless of the truth in this). You will simply accept the insult in a very positive manner as a way to improve yourself, to challenge yourself and become stronger</t>
  </si>
  <si>
    <t>You are narrowminded and spiteful and thus when bad things happen you have "negative energy tank" that accumulates the bad things, this is then transformed into spite and grudges which the user can direct to others. In simple terms by accumulating mental damage the user will use the power of the grudge to their advantage</t>
  </si>
  <si>
    <t>* - you have the touch. You always find the most strange stuff out there, as if you attracted the stuff on purpuse. Which stuff ? It can be from ruins to relics, to monsters, to people. The only common element&gt; they are all damn WEIRD!. This feat does not grant any percivable bonus, just WEIRD ???</t>
  </si>
  <si>
    <t>* - the stress and penalty for living and travelling on a wilderness is reduced</t>
  </si>
  <si>
    <r>
      <rPr>
        <rFont val="Calibri"/>
        <color theme="1"/>
        <sz val="9.0"/>
      </rPr>
      <t xml:space="preserve">* - </t>
    </r>
    <r>
      <rPr>
        <rFont val="Calibri"/>
        <color rgb="FF00B050"/>
        <sz val="9.0"/>
      </rPr>
      <t>Leyline Discovery</t>
    </r>
    <r>
      <rPr>
        <rFont val="Calibri"/>
        <color theme="1"/>
        <sz val="9.0"/>
      </rPr>
      <t xml:space="preserve"> -</t>
    </r>
  </si>
  <si>
    <t>Stoic</t>
  </si>
  <si>
    <t>Iron Will</t>
  </si>
  <si>
    <t>Pain Tolerance</t>
  </si>
  <si>
    <t>Wil</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</si>
  <si>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</si>
  <si>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WIL 120</t>
    </r>
    <r>
      <rPr>
        <rFont val="Calibri"/>
        <color theme="0"/>
        <sz val="9.0"/>
      </rPr>
      <t xml:space="preserve">: </t>
    </r>
    <r>
      <rPr>
        <rFont val="Calibri"/>
        <color theme="0"/>
        <sz val="8.0"/>
      </rPr>
      <t>cu</t>
    </r>
  </si>
  <si>
    <r>
      <rPr>
        <rFont val="Calibri"/>
        <color theme="0"/>
        <sz val="9.0"/>
      </rPr>
      <t xml:space="preserve">* - </t>
    </r>
    <r>
      <rPr>
        <rFont val="Bahnschrift Condensed"/>
        <b/>
        <color theme="0"/>
        <sz val="10.0"/>
      </rPr>
      <t>CAR 125</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</si>
  <si>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</si>
  <si>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</si>
  <si>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Bahnschrift Condensed"/>
        <b/>
        <color rgb="FFFFFF00"/>
        <sz val="10.0"/>
      </rPr>
      <t>Rare</t>
    </r>
    <r>
      <rPr>
        <rFont val="Bahnschrift Condensed"/>
        <b/>
        <color theme="7"/>
        <sz val="10.0"/>
      </rPr>
      <t>[R]</t>
    </r>
    <r>
      <rPr>
        <rFont val="Bahnschrift Condensed"/>
        <color rgb="FFFFFF00"/>
        <sz val="10.0"/>
      </rPr>
      <t xml:space="preserve">                              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</si>
  <si>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</si>
  <si>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t>you gain a bonus based on your alignement, this bonus counters actions that go against your alignment. Thus a evil character may resist "Redeption" if the player wishes so</t>
  </si>
  <si>
    <t>* - you have an iron will, bonus on any defensive roll where you will is tested</t>
  </si>
  <si>
    <t xml:space="preserve">* - when resisting pain, injury and wound you can reduce the penalty. </t>
  </si>
  <si>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</si>
  <si>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</si>
  <si>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</si>
  <si>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</si>
  <si>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t>Strong Soul</t>
  </si>
  <si>
    <t>Impartial Belief</t>
  </si>
  <si>
    <t>Mana Rejection</t>
  </si>
  <si>
    <t>Inner</t>
  </si>
  <si>
    <t xml:space="preserve">* - Strong Soul - </t>
  </si>
  <si>
    <t>* - you try your best to be impartial and not judgemental</t>
  </si>
  <si>
    <t>* - you reject mana by sheer will, reducing magic based damage</t>
  </si>
  <si>
    <t>Cloud Head</t>
  </si>
  <si>
    <t>muddled</t>
  </si>
  <si>
    <t xml:space="preserve">A character with their head in the clouds. They are strangely oblivious to things that everyone else takes for granted. </t>
  </si>
  <si>
    <t>/Focus</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</si>
  <si>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</si>
  <si>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WIL 120</t>
    </r>
    <r>
      <rPr>
        <rFont val="Calibri"/>
        <color theme="0"/>
        <sz val="9.0"/>
      </rPr>
      <t xml:space="preserve">: </t>
    </r>
    <r>
      <rPr>
        <rFont val="Calibri"/>
        <color theme="0"/>
        <sz val="8.0"/>
      </rPr>
      <t>cu</t>
    </r>
  </si>
  <si>
    <r>
      <rPr>
        <rFont val="Calibri"/>
        <color theme="0"/>
        <sz val="9.0"/>
      </rPr>
      <t xml:space="preserve">* - </t>
    </r>
    <r>
      <rPr>
        <rFont val="Bahnschrift Condensed"/>
        <b/>
        <color theme="0"/>
        <sz val="10.0"/>
      </rPr>
      <t>CAR 105</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</si>
  <si>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</si>
  <si>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</si>
  <si>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Bahnschrift Condensed"/>
        <b/>
        <color rgb="FFFFFF00"/>
        <sz val="10.0"/>
      </rPr>
      <t>Rare</t>
    </r>
    <r>
      <rPr>
        <rFont val="Bahnschrift Condensed"/>
        <b/>
        <color theme="7"/>
        <sz val="10.0"/>
      </rPr>
      <t>[R]</t>
    </r>
    <r>
      <rPr>
        <rFont val="Bahnschrift Condensed"/>
        <b/>
        <color rgb="FFFFFF00"/>
        <sz val="10.0"/>
      </rPr>
      <t xml:space="preserve">   </t>
    </r>
    <r>
      <rPr>
        <rFont val="Bahnschrift Condensed"/>
        <color rgb="FFFFFF00"/>
        <sz val="10.0"/>
      </rPr>
      <t xml:space="preserve">                           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</si>
  <si>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</si>
  <si>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</si>
  <si>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t>
    </r>
  </si>
  <si>
    <r>
      <rPr>
        <rFont val="Calibri"/>
        <color rgb="FFFFFF00"/>
        <sz val="9.0"/>
      </rPr>
      <t xml:space="preserve">* - </t>
    </r>
    <r>
      <rPr>
        <rFont val="Bahnschrift Condensed"/>
        <b/>
        <color rgb="FFFFFF00"/>
        <sz val="10.0"/>
      </rPr>
      <t>Counter</t>
    </r>
    <r>
      <rPr>
        <rFont val="Bahnschrift Condensed"/>
        <color rgb="FFFFFF00"/>
        <sz val="9.0"/>
      </rPr>
      <t>: Las</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</si>
  <si>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</si>
  <si>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t>Impartial</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</si>
  <si>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</si>
  <si>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WIL 120</t>
    </r>
    <r>
      <rPr>
        <rFont val="Calibri"/>
        <color theme="0"/>
        <sz val="9.0"/>
      </rPr>
      <t xml:space="preserve">: </t>
    </r>
    <r>
      <rPr>
        <rFont val="Calibri"/>
        <color theme="0"/>
        <sz val="8.0"/>
      </rPr>
      <t>cu</t>
    </r>
  </si>
  <si>
    <r>
      <rPr>
        <rFont val="Calibri"/>
        <color theme="0"/>
        <sz val="9.0"/>
      </rPr>
      <t xml:space="preserve">* - </t>
    </r>
    <r>
      <rPr>
        <rFont val="Bahnschrift Condensed"/>
        <b/>
        <color theme="0"/>
        <sz val="10.0"/>
      </rPr>
      <t>CAR 105</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</si>
  <si>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</si>
  <si>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</si>
  <si>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Bahnschrift Condensed"/>
        <b/>
        <color rgb="FFFFFF00"/>
        <sz val="10.0"/>
      </rPr>
      <t>Rare</t>
    </r>
    <r>
      <rPr>
        <rFont val="Bahnschrift Condensed"/>
        <b/>
        <color theme="7"/>
        <sz val="10.0"/>
      </rPr>
      <t>[R]</t>
    </r>
    <r>
      <rPr>
        <rFont val="Bahnschrift Condensed"/>
        <color rgb="FFFFFF00"/>
        <sz val="10.0"/>
      </rPr>
      <t xml:space="preserve">                              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</si>
  <si>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</si>
  <si>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</si>
  <si>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</si>
  <si>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</si>
  <si>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</si>
  <si>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t>Pain</t>
  </si>
  <si>
    <t>Stress</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</si>
  <si>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</si>
  <si>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WIL 120</t>
    </r>
    <r>
      <rPr>
        <rFont val="Calibri"/>
        <color theme="0"/>
        <sz val="9.0"/>
      </rPr>
      <t xml:space="preserve">: </t>
    </r>
    <r>
      <rPr>
        <rFont val="Calibri"/>
        <color theme="0"/>
        <sz val="8.0"/>
      </rPr>
      <t>cu</t>
    </r>
  </si>
  <si>
    <r>
      <rPr>
        <rFont val="Calibri"/>
        <color theme="0"/>
        <sz val="9.0"/>
      </rPr>
      <t xml:space="preserve">* - </t>
    </r>
    <r>
      <rPr>
        <rFont val="Bahnschrift Condensed"/>
        <b/>
        <color theme="0"/>
        <sz val="10.0"/>
      </rPr>
      <t>CAR 125</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</si>
  <si>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</si>
  <si>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</si>
  <si>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Bahnschrift Condensed"/>
        <b/>
        <color rgb="FFFFFF00"/>
        <sz val="10.0"/>
      </rPr>
      <t>Rare</t>
    </r>
    <r>
      <rPr>
        <rFont val="Bahnschrift Condensed"/>
        <b/>
        <color theme="7"/>
        <sz val="10.0"/>
      </rPr>
      <t>[R]</t>
    </r>
    <r>
      <rPr>
        <rFont val="Bahnschrift Condensed"/>
        <b/>
        <color rgb="FFFFFF00"/>
        <sz val="10.0"/>
      </rPr>
      <t xml:space="preserve">   </t>
    </r>
    <r>
      <rPr>
        <rFont val="Bahnschrift Condensed"/>
        <color rgb="FFFFFF00"/>
        <sz val="10.0"/>
      </rPr>
      <t xml:space="preserve">                           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</si>
  <si>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</si>
  <si>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</si>
  <si>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</si>
  <si>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0.0"/>
      </rPr>
      <t>Counter</t>
    </r>
    <r>
      <rPr>
        <rFont val="Bahnschrift Condensed"/>
        <color rgb="FFFFFF00"/>
        <sz val="9.0"/>
      </rPr>
      <t>: Las</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</si>
  <si>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</si>
  <si>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t>Overwhelm Mana</t>
  </si>
  <si>
    <t>Mana</t>
  </si>
  <si>
    <t>Pw Spot</t>
  </si>
  <si>
    <r>
      <rPr>
        <rFont val="Bahnschrift Condensed"/>
        <color rgb="FF3F3F3F"/>
        <sz val="10.0"/>
      </rPr>
      <t>Common</t>
    </r>
    <r>
      <rPr>
        <rFont val="Bahnschrift Condensed"/>
        <b/>
        <color rgb="FF0C0C0C"/>
        <sz val="10.0"/>
      </rPr>
      <t xml:space="preserve">[C] </t>
    </r>
    <r>
      <rPr>
        <rFont val="Bahnschrift Condensed"/>
        <color rgb="FF3F3F3F"/>
        <sz val="10.0"/>
      </rPr>
      <t xml:space="preserve">                      Anti-Perk</t>
    </r>
  </si>
  <si>
    <r>
      <rPr>
        <rFont val="Calibri"/>
        <color theme="0"/>
        <sz val="9.0"/>
      </rPr>
      <t xml:space="preserve">* - </t>
    </r>
    <r>
      <rPr>
        <rFont val="Bahnschrift Condensed"/>
        <b/>
        <color theme="0"/>
        <sz val="10.0"/>
      </rPr>
      <t>WIL 120</t>
    </r>
    <r>
      <rPr>
        <rFont val="Calibri"/>
        <color theme="0"/>
        <sz val="9.0"/>
      </rPr>
      <t xml:space="preserve">: </t>
    </r>
    <r>
      <rPr>
        <rFont val="Calibri"/>
        <color theme="0"/>
        <sz val="8.0"/>
      </rPr>
      <t>cu</t>
    </r>
  </si>
  <si>
    <r>
      <rPr>
        <rFont val="Calibri"/>
        <color theme="0"/>
        <sz val="9.0"/>
      </rPr>
      <t xml:space="preserve">* - </t>
    </r>
    <r>
      <rPr>
        <rFont val="Bahnschrift Condensed"/>
        <b/>
        <color theme="0"/>
        <sz val="10.0"/>
      </rPr>
      <t>CAR 105</t>
    </r>
    <r>
      <rPr>
        <rFont val="Calibri"/>
        <color theme="0"/>
        <sz val="9.0"/>
      </rPr>
      <t xml:space="preserve">: </t>
    </r>
    <r>
      <rPr>
        <rFont val="Calibri"/>
        <color theme="0"/>
        <sz val="8.0"/>
      </rPr>
      <t>cu</t>
    </r>
  </si>
  <si>
    <r>
      <rPr>
        <rFont val="Bahnschrift Condensed"/>
        <color rgb="FF7030A0"/>
        <sz val="9.0"/>
      </rPr>
      <t>UnCommon</t>
    </r>
    <r>
      <rPr>
        <rFont val="Bahnschrift Condensed"/>
        <b/>
        <color rgb="FF512373"/>
        <sz val="9.0"/>
      </rPr>
      <t>[UC]</t>
    </r>
    <r>
      <rPr>
        <rFont val="Bahnschrift Condensed"/>
        <color rgb="FF7030A0"/>
        <sz val="9.0"/>
      </rPr>
      <t xml:space="preserve">                     </t>
    </r>
    <r>
      <rPr>
        <rFont val="Bahnschrift Condensed"/>
        <color rgb="FF7030A0"/>
        <sz val="10.0"/>
      </rPr>
      <t>Anti-Perk</t>
    </r>
  </si>
  <si>
    <r>
      <rPr>
        <rFont val="Calibri"/>
        <color theme="0"/>
        <sz val="9.0"/>
      </rPr>
      <t xml:space="preserve">* - </t>
    </r>
    <r>
      <rPr>
        <rFont val="Bahnschrift Condensed"/>
        <b/>
        <color theme="0"/>
        <sz val="10.0"/>
      </rPr>
      <t>CAR 100</t>
    </r>
    <r>
      <rPr>
        <rFont val="Calibri"/>
        <color theme="0"/>
        <sz val="9.0"/>
      </rPr>
      <t>: c</t>
    </r>
  </si>
  <si>
    <r>
      <rPr>
        <rFont val="Bahnschrift Condensed"/>
        <b/>
        <color rgb="FFFFFF00"/>
        <sz val="10.0"/>
      </rPr>
      <t>Rare</t>
    </r>
    <r>
      <rPr>
        <rFont val="Bahnschrift Condensed"/>
        <b/>
        <color theme="7"/>
        <sz val="10.0"/>
      </rPr>
      <t>[R]</t>
    </r>
    <r>
      <rPr>
        <rFont val="Bahnschrift Condensed"/>
        <color rgb="FFFFFF00"/>
        <sz val="10.0"/>
      </rPr>
      <t xml:space="preserve">                              Anti-Perk</t>
    </r>
  </si>
  <si>
    <r>
      <rPr>
        <rFont val="Calibri"/>
        <color theme="0"/>
        <sz val="9.0"/>
      </rPr>
      <t>* -</t>
    </r>
    <r>
      <rPr>
        <rFont val="Calibri"/>
        <b/>
        <color theme="0"/>
        <sz val="9.0"/>
      </rPr>
      <t xml:space="preserve"> </t>
    </r>
    <r>
      <rPr>
        <rFont val="Bahnschrift Condensed"/>
        <b/>
        <color theme="0"/>
        <sz val="10.0"/>
      </rPr>
      <t>BASE</t>
    </r>
    <r>
      <rPr>
        <rFont val="Calibri"/>
        <color theme="0"/>
        <sz val="9.0"/>
      </rPr>
      <t xml:space="preserve">: </t>
    </r>
    <r>
      <rPr>
        <rFont val="Calibri"/>
        <color theme="0"/>
        <sz val="8.0"/>
      </rPr>
      <t>en</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</si>
  <si>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</si>
  <si>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r>
      <rPr>
        <rFont val="Calibri"/>
        <color rgb="FFFFFF00"/>
        <sz val="9.0"/>
      </rPr>
      <t xml:space="preserve">* - </t>
    </r>
    <r>
      <rPr>
        <rFont val="Bahnschrift Condensed"/>
        <b/>
        <color rgb="FFFFFF00"/>
        <sz val="11.0"/>
      </rPr>
      <t>Counter</t>
    </r>
    <r>
      <rPr>
        <rFont val="Calibri"/>
        <color rgb="FFFFFF00"/>
        <sz val="9.0"/>
      </rPr>
      <t>:</t>
    </r>
  </si>
  <si>
    <r>
      <rPr>
        <rFont val="Calibri"/>
        <color rgb="FFFFFF00"/>
        <sz val="9.0"/>
      </rPr>
      <t xml:space="preserve">* - </t>
    </r>
    <r>
      <rPr>
        <rFont val="Bahnschrift Condensed"/>
        <b/>
        <color rgb="FFFFFF00"/>
        <sz val="10.0"/>
      </rPr>
      <t>Counter</t>
    </r>
    <r>
      <rPr>
        <rFont val="Bahnschrift Condensed"/>
        <color rgb="FFFFFF00"/>
        <sz val="9.0"/>
      </rPr>
      <t>: Las</t>
    </r>
  </si>
  <si>
    <r>
      <rPr>
        <rFont val="Calibri"/>
        <color rgb="FFFFFF00"/>
        <sz val="9.0"/>
      </rPr>
      <t xml:space="preserve">* - </t>
    </r>
    <r>
      <rPr>
        <rFont val="Bahnschrift Condensed"/>
        <b/>
        <color rgb="FFFFFF00"/>
        <sz val="11.0"/>
      </rPr>
      <t>Counter</t>
    </r>
    <r>
      <rPr>
        <rFont val="Calibri"/>
        <color rgb="FFFFFF00"/>
        <sz val="9.0"/>
      </rPr>
      <t xml:space="preserve">: </t>
    </r>
    <r>
      <rPr>
        <rFont val="Calibri"/>
        <color rgb="FFFFFF00"/>
        <sz val="8.0"/>
      </rPr>
      <t>en</t>
    </r>
  </si>
  <si>
    <t>WARRIOR</t>
  </si>
  <si>
    <r>
      <rPr>
        <rFont val="Calibri"/>
        <b/>
        <color rgb="FFC00000"/>
        <sz val="11.0"/>
      </rPr>
      <t>Melee</t>
    </r>
    <r>
      <rPr>
        <rFont val="Calibri"/>
        <b/>
        <color theme="1"/>
        <sz val="11.0"/>
      </rPr>
      <t xml:space="preserve"> Weapons Handling</t>
    </r>
  </si>
  <si>
    <t>STR- BODY - SPRT</t>
  </si>
  <si>
    <t>BRAWLER</t>
  </si>
  <si>
    <t>Brawling</t>
  </si>
  <si>
    <t>AGI - BODY - SPRT</t>
  </si>
  <si>
    <t>Athletism</t>
  </si>
  <si>
    <t>Heavy Armor Handling</t>
  </si>
  <si>
    <t>Still Mind, Focus</t>
  </si>
  <si>
    <t>Hide</t>
  </si>
  <si>
    <t>Sleight of Hand</t>
  </si>
  <si>
    <t>Discipline</t>
  </si>
  <si>
    <t>Dismantle</t>
  </si>
  <si>
    <t>Riding</t>
  </si>
  <si>
    <t>Battle</t>
  </si>
  <si>
    <t>Rest</t>
  </si>
  <si>
    <t>Intimidation</t>
  </si>
  <si>
    <t>Spirit Sensitivity</t>
  </si>
  <si>
    <t>Bluff</t>
  </si>
  <si>
    <t>Perform</t>
  </si>
  <si>
    <t>Animal Empathy</t>
  </si>
  <si>
    <t>Diplomacy</t>
  </si>
  <si>
    <t>ROUGE</t>
  </si>
  <si>
    <r>
      <rPr>
        <rFont val="Calibri"/>
        <b/>
        <color rgb="FF00B050"/>
        <sz val="11.0"/>
      </rPr>
      <t>Light</t>
    </r>
    <r>
      <rPr>
        <rFont val="Calibri"/>
        <b/>
        <color rgb="FF833C0B"/>
        <sz val="11.0"/>
      </rPr>
      <t xml:space="preserve"> </t>
    </r>
    <r>
      <rPr>
        <rFont val="Calibri"/>
        <b/>
        <color theme="1"/>
        <sz val="11.0"/>
      </rPr>
      <t>Weapons Handling</t>
    </r>
  </si>
  <si>
    <t>AGI -BODY - MIND</t>
  </si>
  <si>
    <t>EXPLORER</t>
  </si>
  <si>
    <t>Projectile Weapons Handling</t>
  </si>
  <si>
    <t>PER - BODY - MIND</t>
  </si>
  <si>
    <t>Haggle</t>
  </si>
  <si>
    <t xml:space="preserve">Acting                                                                   </t>
  </si>
  <si>
    <t>Light Armor Handling</t>
  </si>
  <si>
    <t>Temptation</t>
  </si>
  <si>
    <t xml:space="preserve">Magic Obj </t>
  </si>
  <si>
    <t>Alert</t>
  </si>
  <si>
    <t>Trapper</t>
  </si>
  <si>
    <t>Culture Lore</t>
  </si>
  <si>
    <t>Astrology</t>
  </si>
  <si>
    <t>Court</t>
  </si>
  <si>
    <t xml:space="preserve">Craft </t>
  </si>
  <si>
    <t>Cooking</t>
  </si>
  <si>
    <t>Formal Magics</t>
  </si>
  <si>
    <t>Herbalism</t>
  </si>
  <si>
    <t>Apraisal</t>
  </si>
  <si>
    <t>Knowledge (Specific)</t>
  </si>
  <si>
    <t>MAGE</t>
  </si>
  <si>
    <t>Basic Mana Discipline</t>
  </si>
  <si>
    <t>MIND2</t>
  </si>
  <si>
    <t>BARD</t>
  </si>
  <si>
    <t>Mana Sensitivity</t>
  </si>
  <si>
    <t>CAR - SPR - BODY</t>
  </si>
  <si>
    <t>Climbing</t>
  </si>
  <si>
    <t>Linguistics</t>
  </si>
  <si>
    <t>Mechanics</t>
  </si>
  <si>
    <r>
      <rPr>
        <rFont val="Calibri"/>
        <b/>
        <color rgb="FFC00000"/>
        <sz val="11.0"/>
      </rPr>
      <t>Melee</t>
    </r>
    <r>
      <rPr>
        <rFont val="Calibri"/>
        <b/>
        <color theme="1"/>
        <sz val="11.0"/>
      </rPr>
      <t xml:space="preserve"> Weapons Handling</t>
    </r>
  </si>
  <si>
    <t>Lockpick</t>
  </si>
  <si>
    <t>Spellcraft</t>
  </si>
  <si>
    <t>Farming</t>
  </si>
  <si>
    <t>Investigation</t>
  </si>
  <si>
    <t>Mental Focus</t>
  </si>
  <si>
    <t xml:space="preserve">HandiCraft                                                                      </t>
  </si>
  <si>
    <t>Sense Motive</t>
  </si>
  <si>
    <t>Streetwise</t>
  </si>
  <si>
    <t>Inclemence</t>
  </si>
  <si>
    <t>Tracking</t>
  </si>
  <si>
    <t>SORCEROR</t>
  </si>
  <si>
    <t>PRIEST</t>
  </si>
  <si>
    <t>Holy Light, Faith</t>
  </si>
  <si>
    <t>SPR2</t>
  </si>
  <si>
    <t>DRUID</t>
  </si>
  <si>
    <t>Nature, Focus</t>
  </si>
  <si>
    <t>CAR - SPR-BODY</t>
  </si>
  <si>
    <t>Light Weapons Handling</t>
  </si>
  <si>
    <t>Piety</t>
  </si>
  <si>
    <r>
      <rPr>
        <rFont val="Calibri"/>
        <b/>
        <color rgb="FF00B050"/>
        <sz val="11.0"/>
      </rPr>
      <t>Light</t>
    </r>
    <r>
      <rPr>
        <rFont val="Calibri"/>
        <b/>
        <color rgb="FF833C0B"/>
        <sz val="11.0"/>
      </rPr>
      <t xml:space="preserve"> </t>
    </r>
    <r>
      <rPr>
        <rFont val="Calibri"/>
        <b/>
        <color theme="1"/>
        <sz val="11.0"/>
      </rPr>
      <t>Weapons Handling</t>
    </r>
  </si>
  <si>
    <t>Healing</t>
  </si>
  <si>
    <t>Minning</t>
  </si>
  <si>
    <t>REST</t>
  </si>
  <si>
    <t>Wilderness</t>
  </si>
  <si>
    <t>Wayfarer</t>
  </si>
  <si>
    <t>Witch</t>
  </si>
  <si>
    <t>SPR</t>
  </si>
  <si>
    <t>Lawmaker</t>
  </si>
  <si>
    <t>MND</t>
  </si>
  <si>
    <t>Thief</t>
  </si>
  <si>
    <t>BODY</t>
  </si>
  <si>
    <t>Farmer</t>
  </si>
  <si>
    <t>Academic</t>
  </si>
  <si>
    <t>MIND</t>
  </si>
  <si>
    <t>Butcher</t>
  </si>
  <si>
    <t>Showman</t>
  </si>
  <si>
    <t>Minstrel</t>
  </si>
  <si>
    <t>Traveller</t>
  </si>
  <si>
    <t>Merchant</t>
  </si>
  <si>
    <t>Mystic</t>
  </si>
  <si>
    <t>Pharmascist</t>
  </si>
  <si>
    <t>Artisan</t>
  </si>
  <si>
    <t>Savage</t>
  </si>
  <si>
    <t>Hunter</t>
  </si>
  <si>
    <t>Engineer</t>
  </si>
  <si>
    <t>Merc</t>
  </si>
  <si>
    <t>Low Class</t>
  </si>
  <si>
    <t>High Class</t>
  </si>
  <si>
    <t>Survivalist</t>
  </si>
  <si>
    <t>Core Skills</t>
  </si>
  <si>
    <t>Basic lv  struct</t>
  </si>
  <si>
    <t>1. Action open - raise 1</t>
  </si>
  <si>
    <t xml:space="preserve">2. Skill check+1 - </t>
  </si>
  <si>
    <t>3. Skill performance+1 - item allowance</t>
  </si>
  <si>
    <t>4. Skill check+2 -</t>
  </si>
  <si>
    <t>5. Skill Prof - Greater Check+1</t>
  </si>
  <si>
    <t>Skill becomes upgradeable 1</t>
  </si>
  <si>
    <t>Melee Weapons Handling</t>
  </si>
  <si>
    <t>6. 1st Feat Requiered</t>
  </si>
  <si>
    <t xml:space="preserve">Action Enhance - greater perform </t>
  </si>
  <si>
    <t>7. Skill performance+2 - raise 2</t>
  </si>
  <si>
    <t>Skill becomes upgradeable 2</t>
  </si>
  <si>
    <t xml:space="preserve">8. Skill check+3 - attributes skill restric </t>
  </si>
  <si>
    <t>Aditional Skills</t>
  </si>
  <si>
    <t>9. Skill performance+4 -</t>
  </si>
  <si>
    <t>Skill becomes upgradeable 3</t>
  </si>
  <si>
    <t>10. 2nd Feat Requiered</t>
  </si>
  <si>
    <t>Skill prof+, Mastery perk, Greater Check+2</t>
  </si>
  <si>
    <t>DISCIPLINE</t>
  </si>
  <si>
    <t>HIDE</t>
  </si>
  <si>
    <t>ATHLETISM</t>
  </si>
  <si>
    <t>Melee Weapons</t>
  </si>
  <si>
    <t>Action:</t>
  </si>
  <si>
    <t>Lv 1</t>
  </si>
  <si>
    <r>
      <rPr>
        <rFont val="Calibri"/>
        <color theme="1"/>
      </rPr>
      <t xml:space="preserve">Combat focus - </t>
    </r>
    <r>
      <rPr>
        <rFont val="Calibri"/>
        <color theme="1"/>
        <sz val="9.0"/>
      </rPr>
      <t>resist fear and cohesion based spirit attacks automatically when in battle</t>
    </r>
  </si>
  <si>
    <r>
      <rPr>
        <rFont val="Calibri"/>
        <color theme="1"/>
      </rPr>
      <t xml:space="preserve">Hide in Cover - </t>
    </r>
    <r>
      <rPr>
        <rFont val="Calibri"/>
        <color theme="1"/>
        <sz val="9.0"/>
      </rPr>
      <t>hide using "Heavy obstacles" such as walls, solid structures, etc. You need to cover your whole body to make it work</t>
    </r>
  </si>
  <si>
    <t>Action Man: perform enhanced physical action such as Running, Jumping, etc. After the action there is a temporal fatigue debuff of 1 dice penalty, stackable</t>
  </si>
  <si>
    <t xml:space="preserve">Melee Combat I: </t>
  </si>
  <si>
    <t>LV 6</t>
  </si>
  <si>
    <r>
      <rPr>
        <rFont val="Calibri"/>
        <color theme="1"/>
      </rPr>
      <t>C. Focus II -</t>
    </r>
    <r>
      <rPr>
        <rFont val="Calibri"/>
        <color theme="1"/>
        <sz val="9.0"/>
      </rPr>
      <t xml:space="preserve"> when in combat defend against distractions automatically</t>
    </r>
  </si>
  <si>
    <r>
      <rPr>
        <rFont val="Calibri"/>
        <color theme="1"/>
      </rPr>
      <t xml:space="preserve">Hide in Cover II - </t>
    </r>
    <r>
      <rPr>
        <rFont val="Calibri"/>
        <color theme="1"/>
        <sz val="9.0"/>
      </rPr>
      <t>Hide using "Light obstacles" such as thin structures and furniture, you need to cover your whole body to make it work</t>
    </r>
  </si>
  <si>
    <t>A.Man II - you can perform a extended Athetism action, until you stop there is no sudden fatigue penalty. Stopping means to have one round where you do not perform athetism actions or you fail your athetism skill check</t>
  </si>
  <si>
    <t xml:space="preserve">Melee Combat II: </t>
  </si>
  <si>
    <t>Lv 10</t>
  </si>
  <si>
    <r>
      <rPr>
        <rFont val="Calibri"/>
        <color theme="1"/>
      </rPr>
      <t xml:space="preserve">C. Focus III - </t>
    </r>
    <r>
      <rPr>
        <rFont val="Calibri"/>
        <color theme="1"/>
        <sz val="9.0"/>
      </rPr>
      <t>react to fear outside of battle with a saving roll bonus</t>
    </r>
  </si>
  <si>
    <r>
      <rPr>
        <rFont val="Calibri"/>
        <color theme="1"/>
      </rPr>
      <t xml:space="preserve">Hide in Cover III - </t>
    </r>
    <r>
      <rPr>
        <rFont val="Calibri"/>
        <color theme="1"/>
        <sz val="9.0"/>
      </rPr>
      <t>as long as you cover your body with a heavy or light obstacle at 75% it is considered covered and may be hidden</t>
    </r>
  </si>
  <si>
    <t>A.Man III - allows to resist and reject the temporal fatigue defuff with a body saving roll, however next fatigue roll becomes harder to resist</t>
  </si>
  <si>
    <t xml:space="preserve">Melee Combat III: </t>
  </si>
  <si>
    <t>Evolution:</t>
  </si>
  <si>
    <t xml:space="preserve">Bravery(T1) </t>
  </si>
  <si>
    <t xml:space="preserve">Camoflage(T1) </t>
  </si>
  <si>
    <t xml:space="preserve">Sprinter(T1) </t>
  </si>
  <si>
    <t>Pikemen Technique (T1)</t>
  </si>
  <si>
    <t>Soldiering (T2)</t>
  </si>
  <si>
    <t xml:space="preserve">Cloak&amp;Dagger(T2) </t>
  </si>
  <si>
    <t xml:space="preserve">Acrobacy(T2) </t>
  </si>
  <si>
    <t>Heavy Blade Technique (T1)</t>
  </si>
  <si>
    <t>Martial Temperance (T3)</t>
  </si>
  <si>
    <t>Hide in Plain Sight (T3)</t>
  </si>
  <si>
    <t>Heightened Balance (T3)</t>
  </si>
  <si>
    <t>Battle Club Technique (T1)</t>
  </si>
  <si>
    <t>Warmonger (Rare)</t>
  </si>
  <si>
    <t>Unremarkable (Rare)</t>
  </si>
  <si>
    <t>Marathon (Rare)</t>
  </si>
  <si>
    <t>Light Blade Technique (T1)</t>
  </si>
  <si>
    <t xml:space="preserve">Perform(1-5) </t>
  </si>
  <si>
    <t xml:space="preserve">Perform(1-4) </t>
  </si>
  <si>
    <t>Footman Technique (T2)</t>
  </si>
  <si>
    <r>
      <rPr>
        <rFont val="Calibri"/>
        <color theme="1"/>
      </rPr>
      <t xml:space="preserve">Start - Resist by </t>
    </r>
    <r>
      <rPr>
        <rFont val="Calibri"/>
        <b/>
        <color theme="1"/>
        <sz val="11.0"/>
      </rPr>
      <t>5</t>
    </r>
  </si>
  <si>
    <r>
      <rPr>
        <rFont val="Calibri"/>
        <color theme="1"/>
      </rPr>
      <t xml:space="preserve">Start - Hide Cover Dificulty  by </t>
    </r>
    <r>
      <rPr>
        <rFont val="Calibri"/>
        <b/>
        <color theme="1"/>
        <sz val="11.0"/>
      </rPr>
      <t>10</t>
    </r>
  </si>
  <si>
    <t>Start - Improve 25% of physical action</t>
  </si>
  <si>
    <t>Heavy Soldier Technique (T2)</t>
  </si>
  <si>
    <r>
      <rPr>
        <rFont val="Calibri"/>
        <color theme="1"/>
      </rPr>
      <t xml:space="preserve">1. Resist  by </t>
    </r>
    <r>
      <rPr>
        <rFont val="Calibri"/>
        <b/>
        <color theme="1"/>
        <sz val="11.0"/>
      </rPr>
      <t>10</t>
    </r>
  </si>
  <si>
    <r>
      <rPr>
        <rFont val="Calibri"/>
        <color theme="1"/>
      </rPr>
      <t xml:space="preserve">1. Hide Cover Dificulty  by </t>
    </r>
    <r>
      <rPr>
        <rFont val="Calibri"/>
        <b/>
        <color theme="1"/>
        <sz val="11.0"/>
      </rPr>
      <t>15</t>
    </r>
  </si>
  <si>
    <t>1. Improve 50% of physical action</t>
  </si>
  <si>
    <t>Light Calvalry Technique (T2)</t>
  </si>
  <si>
    <r>
      <rPr>
        <rFont val="Calibri"/>
        <color theme="1"/>
      </rPr>
      <t xml:space="preserve">2. Skill Crit: </t>
    </r>
    <r>
      <rPr>
        <rFont val="Calibri"/>
        <color theme="1"/>
        <sz val="9.0"/>
      </rPr>
      <t>On a skill check of 40 or more, add +10 to Resist Score</t>
    </r>
  </si>
  <si>
    <r>
      <rPr>
        <rFont val="Calibri"/>
        <color theme="1"/>
      </rPr>
      <t xml:space="preserve">2. Skill Crit: </t>
    </r>
    <r>
      <rPr>
        <rFont val="Calibri"/>
        <color theme="1"/>
        <sz val="9.0"/>
      </rPr>
      <t>On a skill check of 40 or more, add +10 to Hide Score</t>
    </r>
  </si>
  <si>
    <r>
      <rPr>
        <rFont val="Calibri"/>
        <color theme="1"/>
      </rPr>
      <t xml:space="preserve">2. Skill Crit: </t>
    </r>
    <r>
      <rPr>
        <rFont val="Calibri"/>
        <color theme="1"/>
        <sz val="9.0"/>
      </rPr>
      <t>On a skill check of 40 or more, add +50% to physical action performance</t>
    </r>
  </si>
  <si>
    <t>Barbarian Vandal Technique (T3)</t>
  </si>
  <si>
    <r>
      <rPr>
        <rFont val="Calibri"/>
        <color theme="1"/>
      </rPr>
      <t xml:space="preserve">3. Resist  by </t>
    </r>
    <r>
      <rPr>
        <rFont val="Calibri"/>
        <b/>
        <color theme="1"/>
        <sz val="11.0"/>
      </rPr>
      <t>15</t>
    </r>
  </si>
  <si>
    <r>
      <rPr>
        <rFont val="Calibri"/>
        <color theme="1"/>
      </rPr>
      <t xml:space="preserve">3. Hide Cover Dificulty  by </t>
    </r>
    <r>
      <rPr>
        <rFont val="Calibri"/>
        <b/>
        <color theme="1"/>
        <sz val="11.0"/>
      </rPr>
      <t>20</t>
    </r>
  </si>
  <si>
    <t>3. Improve 75% of physical action</t>
  </si>
  <si>
    <t>Guardian Soldier Technique (T3)</t>
  </si>
  <si>
    <r>
      <rPr>
        <rFont val="Calibri"/>
        <color theme="1"/>
      </rPr>
      <t xml:space="preserve">G.Perf - Reaction: </t>
    </r>
    <r>
      <rPr>
        <rFont val="Calibri"/>
        <color theme="1"/>
        <sz val="9.0"/>
      </rPr>
      <t>you gain a +5 morale bonus on attack rolls and weapon damage rolls the fear affect on you for 1 round. Non Stackable</t>
    </r>
  </si>
  <si>
    <t>G.Perf - ??</t>
  </si>
  <si>
    <t xml:space="preserve">G.Perf - Reduces the amount of Fatigue produced by a Highly physical action </t>
  </si>
  <si>
    <t>Twin Blade Technique (Rare)</t>
  </si>
  <si>
    <r>
      <rPr>
        <rFont val="Calibri"/>
        <i/>
        <color theme="1"/>
        <sz val="9.0"/>
      </rPr>
      <t xml:space="preserve">Reaction: </t>
    </r>
    <r>
      <rPr>
        <rFont val="Calibri"/>
        <i/>
        <color theme="1"/>
        <sz val="8.0"/>
      </rPr>
      <t>Whenever a fear effect targets you and fails to affect you</t>
    </r>
  </si>
  <si>
    <r>
      <rPr>
        <rFont val="Calibri"/>
        <color theme="1"/>
      </rPr>
      <t xml:space="preserve">4. Hide Cover Dificulty  by </t>
    </r>
    <r>
      <rPr>
        <rFont val="Calibri"/>
        <b/>
        <color theme="1"/>
        <sz val="11.0"/>
      </rPr>
      <t>25</t>
    </r>
  </si>
  <si>
    <t>4. Improve 100% of physical action</t>
  </si>
  <si>
    <t>Oriental Spear Technique (Rare)</t>
  </si>
  <si>
    <r>
      <rPr>
        <rFont val="Calibri"/>
        <color theme="1"/>
      </rPr>
      <t xml:space="preserve">4. Resist  by </t>
    </r>
    <r>
      <rPr>
        <rFont val="Calibri"/>
        <b/>
        <color theme="1"/>
        <sz val="11.0"/>
      </rPr>
      <t>20</t>
    </r>
  </si>
  <si>
    <r>
      <rPr>
        <rFont val="Calibri"/>
        <color theme="1"/>
      </rPr>
      <t xml:space="preserve">5. Skill Crit: </t>
    </r>
    <r>
      <rPr>
        <rFont val="Calibri"/>
        <color theme="1"/>
        <sz val="9.0"/>
      </rPr>
      <t>On a skill check of 50 or more, add +10 to Hide Score</t>
    </r>
  </si>
  <si>
    <r>
      <rPr>
        <rFont val="Calibri"/>
        <color theme="1"/>
      </rPr>
      <t xml:space="preserve">2. Skill Crit: </t>
    </r>
    <r>
      <rPr>
        <rFont val="Calibri"/>
        <color theme="1"/>
        <sz val="9.0"/>
      </rPr>
      <t>On a skill check of 50 or more, add +100% to physical action performance</t>
    </r>
  </si>
  <si>
    <r>
      <rPr>
        <rFont val="Calibri"/>
        <color theme="1"/>
      </rPr>
      <t xml:space="preserve">5. Skill Crit 2: </t>
    </r>
    <r>
      <rPr>
        <rFont val="Calibri"/>
        <color theme="1"/>
        <sz val="9.0"/>
      </rPr>
      <t>On a skill check of 50 or more, add +15 to Resist Score, Reaction doubles bonus and it last for 3 rounds</t>
    </r>
  </si>
  <si>
    <t xml:space="preserve">Start - </t>
  </si>
  <si>
    <t>Proficiency (1-7)</t>
  </si>
  <si>
    <t>1. Discipline item: well mantained and functional battle gear grants +1 per piece to skill check up to a max of +3</t>
  </si>
  <si>
    <t>1. Hide Item: Hide skills can be used</t>
  </si>
  <si>
    <t>1. Athletism Item: Specific footwear item can boost athletism</t>
  </si>
  <si>
    <t>2. Group Bravery: When fighting in groups the morale of others may strenghten your will based skills</t>
  </si>
  <si>
    <t>2. Step in shadows - shadows grant bonus</t>
  </si>
  <si>
    <t>2.</t>
  </si>
  <si>
    <t>3. Soldier's  Resilence: The character's focus and discipline allow them to reduce fatigue penalty temporarily for 1 scene using discipline skill checks</t>
  </si>
  <si>
    <t>3. Hide in shadows - deep shadows are used as a light cover obstacle</t>
  </si>
  <si>
    <t>3.</t>
  </si>
  <si>
    <t>4. Against The Wall: When the character is bellow 25% of his HP, his abilities explode into an ability boost during a number of rounds equal to your will/50</t>
  </si>
  <si>
    <t>4. Peek a boo - you peek around objects without loosing cover</t>
  </si>
  <si>
    <t>5. Stoic reticence: your discipline skill will trigger automatically even against ambrushes and other effects that you are not aware of., however, you still need to be on guard and alert to danger for this to happen so a complete ambrush will still leave you defenseless</t>
  </si>
  <si>
    <t>5. Shadow switch - you can change covers as a free action when no one is looking within 3 mts. Only once per round</t>
  </si>
  <si>
    <t>6. Combat Discipline: The character's discipline in combat allows them to slightly reduce non-supernatural physical damage they are aware of based on the WILL score</t>
  </si>
  <si>
    <t>6. Quick shadow  - you can exit stealth cover to perform a single action such as steal or attack within 3 mts then return to your stealth on the same round</t>
  </si>
  <si>
    <t>7. Iron Heart: your mind and heart have been trained throughtly, in any mind-affecting effect over you which has a skill check with less than 40, you will reduce one rank in the effect or otherwise halve the duration of the effect. this only works in mind or enchantment skills which are rejected using will or spirit based rolls</t>
  </si>
  <si>
    <t>7. One with shadows - when in shadows special perk become active</t>
  </si>
  <si>
    <r>
      <rPr>
        <rFont val="Calibri"/>
        <color theme="1"/>
      </rPr>
      <t xml:space="preserve">Patching : </t>
    </r>
    <r>
      <rPr>
        <rFont val="Calibri"/>
        <color theme="1"/>
        <sz val="9.0"/>
      </rPr>
      <t>During a "Short Rest" (aprox 2hrs) period, you can recover additional (1k1) to target, it works only once per target after any "Long Rest" (8hrs), multiple healings cannot be stacked together. You can only heal as many as your WILL/50 people during a single short rest, while still resting yourself. otherwise, you can manage twice as much people but with no rest and adding a permanent fatigue penalty debuff</t>
    </r>
  </si>
  <si>
    <r>
      <rPr>
        <rFont val="Calibri"/>
        <color theme="1"/>
      </rPr>
      <t>Battle Tactics :</t>
    </r>
    <r>
      <rPr>
        <rFont val="Calibri"/>
        <color theme="1"/>
        <sz val="8.0"/>
      </rPr>
      <t xml:space="preserve"> in combat battle tactics can be used to spot combat oportunities and asset when the enemy is working to obtain an advantage. For example: in the next round, if you do not move from this area you will be blocked off from escape, and one round later you will be surrounded. A simple tactical superiority will offer additional circumstantial bonus to the user during a specific frame of time, on the other hand a obtaining a clear "advantage" such surrounding, or a high ground with a ranged weapon will either have the user roll twice and choose the best roll or directly take away dice from the target</t>
    </r>
  </si>
  <si>
    <r>
      <rPr>
        <rFont val="Calibri"/>
        <color theme="1"/>
      </rPr>
      <t xml:space="preserve">Magic Exec I: </t>
    </r>
    <r>
      <rPr>
        <rFont val="Calibri"/>
        <color theme="1"/>
        <sz val="8.0"/>
      </rPr>
      <t xml:space="preserve">you can activate and use most "useable" and "non bonded" magic items. It takes 10-20 rounds to sync with the magic item for the first time and from then on, 1-3 round of syncing before using the magic object after that. You need to spend 1mp at least to activate a magic item, a character incapable of providing at least this much cannot activate the item. Please keep in mind that different magic items have a different "magic obj" level to be used and some requiere far more MP to be activated. </t>
    </r>
  </si>
  <si>
    <r>
      <rPr>
        <rFont val="Calibri"/>
        <color theme="1"/>
      </rPr>
      <t xml:space="preserve">Mana Trigger: </t>
    </r>
    <r>
      <rPr>
        <rFont val="Calibri"/>
        <color theme="1"/>
        <sz val="8.0"/>
      </rPr>
      <t>As a Full-Round Action, you can use this ability to actively sense other Mana-users out to a range of 1 meters x compound skill level. If you succeed on a DC 15 Mana sensitivity check, you know how many Mana-users are within range, their approximate distance and direction from you. Another Mana-user within range can try to conceal his or her presence from you by making an opposed Mana Sensitivity check.  The higher and more vulgar the display of mana the easier is to sense and localize this presence, you can imagine it as a sixth sence which triggers automatically in reaction to mana. This is very useful to find mana rich locations, items and even to react to sudden mana attacks such as mana based traps. This action is limited to "ACTIVE" mana skills which are cast or target near the user, and will not register PASSIVE mana skills or abilities which are already at work continuosly beforehand</t>
    </r>
  </si>
  <si>
    <r>
      <rPr>
        <rFont val="Calibri"/>
        <color theme="1"/>
      </rPr>
      <t xml:space="preserve">Patching II : </t>
    </r>
    <r>
      <rPr>
        <rFont val="Calibri"/>
        <color theme="1"/>
        <sz val="9.0"/>
      </rPr>
      <t>Reduces penalty when dealing with open wound injuries such as bleeding. Allows the healer to restore a small amount of "WOUND" type damage</t>
    </r>
  </si>
  <si>
    <r>
      <rPr>
        <rFont val="Calibri"/>
        <color theme="1"/>
      </rPr>
      <t>Battle Tactics II:</t>
    </r>
    <r>
      <rPr>
        <rFont val="Calibri"/>
        <color theme="1"/>
        <sz val="8.0"/>
      </rPr>
      <t xml:space="preserve"> your can add your battle roll score when performing combat teamwork tactics or, in case that the user is the combat leader: looking for team-type combat oportunities. However, please beware that this only works if the group is willingly working together and has some means to comunicate or has time to perform some adjustments. Team type combat oportunities can only be taken when the leader has a Battle skill on this same level at the very least</t>
    </r>
  </si>
  <si>
    <r>
      <rPr>
        <rFont val="Calibri"/>
        <color theme="1"/>
      </rPr>
      <t xml:space="preserve">Magic Exec II: </t>
    </r>
    <r>
      <rPr>
        <rFont val="Calibri"/>
        <color theme="1"/>
        <sz val="8.0"/>
      </rPr>
      <t>you can now interact with structural magical objects such as elevators, magic aparatus and other magic objects which are not in the tool or human-class type (objects made to be worn by humans). You are still limited to interact with "useable" and "non bonded" magic structures. Please keep in mind that some magic aparatus such as transportation devices (teleport facility), requiere large amount of mana to work. it takes 10-20 rounds to sync with newly met magical objects, however, it will take usually 1-3 rounds after the first time (depending on the object complexity).</t>
    </r>
  </si>
  <si>
    <r>
      <rPr>
        <rFont val="Calibri"/>
        <color theme="1"/>
      </rPr>
      <t>Mana Trigger II:</t>
    </r>
    <r>
      <rPr>
        <rFont val="Calibri"/>
        <color theme="1"/>
        <sz val="8.0"/>
      </rPr>
      <t xml:space="preserve"> As a Full-Round Action, you can enter a ManaTrance with a DC 10 mana sensitivity check. In this state, you remain fully aware of your surroundings. Each hour you remain in the trance, you regain a number of Mana Points equal to your Mana Sensitivity Level (max 10)</t>
    </r>
  </si>
  <si>
    <r>
      <rPr>
        <rFont val="Calibri"/>
        <color theme="1"/>
      </rPr>
      <t xml:space="preserve">Patching III : </t>
    </r>
    <r>
      <rPr>
        <rFont val="Calibri"/>
        <color theme="1"/>
        <sz val="9.0"/>
      </rPr>
      <t>you can perform Patching outside of a "short rest" instance by spending 10 minutes in performing a total focus action, the user is completly prone during that time, and will remain prone during 3 rounds after suspending treatment. However, the target must abide by a non-intensive physical action policy, otherwise the effect will be voided and the target must be healed again with heavy penalty, HP recovered in this way is only "temporarily" recovered until the hour time has passed which is when the recovery becomes permanent</t>
    </r>
  </si>
  <si>
    <r>
      <rPr>
        <rFont val="Calibri"/>
        <color theme="1"/>
      </rPr>
      <t xml:space="preserve">Battle Tactics III: </t>
    </r>
    <r>
      <rPr>
        <rFont val="Calibri"/>
        <color theme="1"/>
        <sz val="8.0"/>
      </rPr>
      <t>When you are in a disvantageous tactical circumstance you can reduce the imposed penalty by quickly adapting to it and adjusting your actions acordingly. If you perform the appropiate actions, then, reduce the penalty imposed by the combat disvantage</t>
    </r>
  </si>
  <si>
    <r>
      <rPr>
        <rFont val="Calibri"/>
        <color theme="1"/>
      </rPr>
      <t xml:space="preserve">Magic Exec III:  </t>
    </r>
    <r>
      <rPr>
        <rFont val="Calibri"/>
        <color theme="1"/>
        <sz val="8.0"/>
      </rPr>
      <t>you can de-activate and interrupt the use of most "non-useable" magical objects, these objects will normally trigger by themselves but you are capable of trigger them down, most of the time this means the expenditure of MP to interrupt the flow of mana of the object. it takes from 5-10 rounds to interrupt a magical object and you need to be in contact with it or its magical core. Also, please keep in mind that even non-useable magical objects are made to be worn by humans, this skill does not allow the user to interact with "autonomous" and "independent" magical objects such as golems and magic traps</t>
    </r>
  </si>
  <si>
    <r>
      <rPr>
        <rFont val="Calibri"/>
        <color theme="1"/>
      </rPr>
      <t xml:space="preserve">Magic Trigger III:  </t>
    </r>
    <r>
      <rPr>
        <rFont val="Calibri"/>
        <color theme="1"/>
        <sz val="8.0"/>
      </rPr>
      <t>As a Full round action, you can enter into total defense mode where you obtain +5 to your mana saving roll, this is provided that you can actually move and react to it. This action reflects the user attunement to the mana so high that he can react instinctively to mana based attacks and dodge as if he knew the attack was comming beforehand.</t>
    </r>
  </si>
  <si>
    <t>Note: Healing[C] cannot treat someone with "Serious wounds"(R4) or worse</t>
  </si>
  <si>
    <r>
      <rPr>
        <rFont val="Calibri"/>
        <color theme="1"/>
      </rPr>
      <t xml:space="preserve">*note: </t>
    </r>
    <r>
      <rPr>
        <rFont val="Calibri"/>
        <color theme="1"/>
        <sz val="8.0"/>
      </rPr>
      <t>Battle[c] can be used in both Large scale battle and normal combat, but its effects are different for both, the effects described here detail about its use in "normal combat"</t>
    </r>
  </si>
  <si>
    <r>
      <rPr>
        <rFont val="Calibri"/>
        <color theme="1"/>
      </rPr>
      <t xml:space="preserve">*note: </t>
    </r>
    <r>
      <rPr>
        <rFont val="Calibri"/>
        <color theme="1"/>
        <sz val="8.0"/>
      </rPr>
      <t>Useable items are magical items which accept external inputs, for example, a ring of protection is a "non-useable" item as it provides a constant magical bonus, and there is no manipulation from the user toward the ring, in simple terms, the ring simply works by putting it on your finger and there is no enabling or disabling. Viceversa, a useable item such as a magic wand needs the user to activate and sometimes guide its powers</t>
    </r>
  </si>
  <si>
    <r>
      <rPr>
        <rFont val="Calibri"/>
        <color theme="1"/>
      </rPr>
      <t xml:space="preserve">*note2: </t>
    </r>
    <r>
      <rPr>
        <rFont val="Calibri"/>
        <color theme="1"/>
        <sz val="8.0"/>
      </rPr>
      <t>Mana sensitivity has a base cost of 3 MP per use for the unskilled person who has learned it recently</t>
    </r>
  </si>
  <si>
    <r>
      <rPr>
        <rFont val="Calibri"/>
        <color theme="1"/>
      </rPr>
      <t xml:space="preserve">*note2: </t>
    </r>
    <r>
      <rPr>
        <rFont val="Calibri"/>
        <color theme="1"/>
        <sz val="8.0"/>
      </rPr>
      <t>please keep in mind that any magical object that has not been sync with the user in a time equal to a 1 day (4 TU) will count as a new magical object</t>
    </r>
  </si>
  <si>
    <t xml:space="preserve">Combat Aid(T1) </t>
  </si>
  <si>
    <t>Combat Coordination (T1)</t>
  </si>
  <si>
    <t>Mana Body (T1)</t>
  </si>
  <si>
    <t xml:space="preserve">Treatment(T2) </t>
  </si>
  <si>
    <t>Skirmirsher (T2)</t>
  </si>
  <si>
    <t>Multi-Magic Object (T1)</t>
  </si>
  <si>
    <t>Mana Trance (T1)</t>
  </si>
  <si>
    <t>Diagnose (T3)</t>
  </si>
  <si>
    <t>Leadership (T3)</t>
  </si>
  <si>
    <t>MagicShieldUser (T1)</t>
  </si>
  <si>
    <t>Mana Sense (T2)</t>
  </si>
  <si>
    <t>Oriental Healing (Rare)</t>
  </si>
  <si>
    <t>Guerrilla Warfare (Rare)</t>
  </si>
  <si>
    <t>Scrying Eye (T1)</t>
  </si>
  <si>
    <t>Mana Attunement (T2)</t>
  </si>
  <si>
    <t>WandWielder (T2)</t>
  </si>
  <si>
    <t>Superior Mana Sensitivity (T3)</t>
  </si>
  <si>
    <t>Start - Recover 1k1 HP of health</t>
  </si>
  <si>
    <t>Start - Detect Combat Oportunities</t>
  </si>
  <si>
    <t>Magic Devise Operation (T2)</t>
  </si>
  <si>
    <r>
      <rPr>
        <rFont val="Calibri"/>
        <color theme="1"/>
      </rPr>
      <t xml:space="preserve">1. Meding Effect I: </t>
    </r>
    <r>
      <rPr>
        <rFont val="Calibri"/>
        <color theme="1"/>
        <sz val="9.0"/>
      </rPr>
      <t>mend bleeding wounds and stabilize health hazards or injuries ranked "minor"(R1) as base (more by performing raises)</t>
    </r>
  </si>
  <si>
    <r>
      <rPr>
        <rFont val="Calibri"/>
        <color theme="1"/>
      </rPr>
      <t xml:space="preserve">1. Flatfooted I: </t>
    </r>
    <r>
      <rPr>
        <rFont val="Calibri"/>
        <color theme="1"/>
        <sz val="8.0"/>
      </rPr>
      <t>an enemy caught in a combat oportunity becomes flat-footed (-5 to armor rating, minimun: 5 + Armor bonus)</t>
    </r>
  </si>
  <si>
    <t>Devise Canceller (T3)</t>
  </si>
  <si>
    <r>
      <rPr>
        <rFont val="Calibri"/>
        <color theme="1"/>
      </rPr>
      <t xml:space="preserve">Start - </t>
    </r>
    <r>
      <rPr>
        <rFont val="Calibri"/>
        <color theme="1"/>
        <sz val="9.0"/>
      </rPr>
      <t>1 meter x compound skill level</t>
    </r>
  </si>
  <si>
    <r>
      <rPr>
        <rFont val="Calibri"/>
        <color theme="1"/>
      </rPr>
      <t xml:space="preserve">2. Skill Crit: </t>
    </r>
    <r>
      <rPr>
        <rFont val="Calibri"/>
        <color theme="1"/>
        <sz val="9.0"/>
      </rPr>
      <t>On a skill check of 40 or more, add targets +VIT/2 to healing and mend one rank higher of wounds (max: serious wounds)</t>
    </r>
  </si>
  <si>
    <r>
      <rPr>
        <rFont val="Calibri"/>
        <color theme="1"/>
      </rPr>
      <t xml:space="preserve">2. Skill Crit: </t>
    </r>
    <r>
      <rPr>
        <rFont val="Calibri"/>
        <color theme="1"/>
        <sz val="9.0"/>
      </rPr>
      <t>On a skill check of 40 or more, if the target is caught on a combat oportunity in favor to the player, the target is forced to roll a saving roll using MIND or yield a "combat Advantage" to the user during 1 round. Only once per combat. the target saving roll is half of the current critical roll value with a maximun of 40. A target which has the Battle skill will reduce this dificulty by half again and will use his Battle roll to resist</t>
    </r>
  </si>
  <si>
    <t>Mana-based Relic (Rare)</t>
  </si>
  <si>
    <r>
      <rPr>
        <rFont val="Calibri"/>
        <color theme="1"/>
      </rPr>
      <t xml:space="preserve">1. Sensitivity Up I: </t>
    </r>
    <r>
      <rPr>
        <rFont val="Calibri"/>
        <color theme="1"/>
        <sz val="9.0"/>
      </rPr>
      <t>2 meter x compound skill level</t>
    </r>
  </si>
  <si>
    <r>
      <rPr>
        <rFont val="Calibri"/>
        <color theme="1"/>
      </rPr>
      <t xml:space="preserve">3. Meding Effect II: </t>
    </r>
    <r>
      <rPr>
        <rFont val="Calibri"/>
        <color theme="1"/>
        <sz val="9.0"/>
      </rPr>
      <t>mend bleeding wounds and stabilize health hazards, only injuries ranked from "Minor"(R1) to "Light"(R2) as base (more by performing raises)</t>
    </r>
  </si>
  <si>
    <r>
      <rPr>
        <rFont val="Calibri"/>
        <color theme="1"/>
      </rPr>
      <t xml:space="preserve">3. Flatfooted II: </t>
    </r>
    <r>
      <rPr>
        <rFont val="Calibri"/>
        <color theme="1"/>
        <sz val="8.0"/>
      </rPr>
      <t>an enemy caught in a combat oportunity becomes flat-footed (-10 to armor rating, minimun: 5 + Armor bonus)</t>
    </r>
  </si>
  <si>
    <r>
      <rPr>
        <rFont val="Calibri"/>
        <color theme="1"/>
      </rPr>
      <t xml:space="preserve">2. Skill Crit 1: </t>
    </r>
    <r>
      <rPr>
        <rFont val="Calibri"/>
        <color theme="1"/>
        <sz val="9.0"/>
      </rPr>
      <t>On a skill check of 40 or more,  increases every mana sensitivity action by 50% (increases Range by 50%, MP gained by 50%, and defense score by 50%)</t>
    </r>
  </si>
  <si>
    <t>G.Perf I - Recover additional health by target +Vit score</t>
  </si>
  <si>
    <r>
      <rPr>
        <rFont val="Calibri"/>
        <color theme="1"/>
      </rPr>
      <t xml:space="preserve">G. Perf I - </t>
    </r>
    <r>
      <rPr>
        <rFont val="Calibri"/>
        <color theme="1"/>
        <sz val="8.0"/>
      </rPr>
      <t>When commanding, leading or otherwise guiding a group where every member is willingly collaborating, then you add a bonus to the team Armor rating. The bonus is usually equal to each member perception score /100. Please keep in mind that any member that breaks away from the team is not covered in this benefit, moreover, breaking away from the group may break the team formation and cancel the bonus for every member altogether. a Maximun of user Perception/100+1 people can be benefited in this way</t>
    </r>
  </si>
  <si>
    <t>Start - 10-20 round for new activation, 1 round of sync for known sync</t>
  </si>
  <si>
    <r>
      <rPr>
        <rFont val="Calibri"/>
        <color theme="1"/>
      </rPr>
      <t xml:space="preserve">3. Sensitivity Up II: </t>
    </r>
    <r>
      <rPr>
        <rFont val="Calibri"/>
        <color theme="1"/>
        <sz val="9.0"/>
      </rPr>
      <t>3 meter x compound skill level</t>
    </r>
  </si>
  <si>
    <r>
      <rPr>
        <rFont val="Calibri"/>
        <color theme="1"/>
      </rPr>
      <t xml:space="preserve">4. Meding Effect III: </t>
    </r>
    <r>
      <rPr>
        <rFont val="Calibri"/>
        <color theme="1"/>
        <sz val="9.0"/>
      </rPr>
      <t>mend bleeding wounds and stabilize health hazards, only injuries ranked from "Minor"(R1) to "Moderate"(R3) as base (more by performing raises)</t>
    </r>
  </si>
  <si>
    <r>
      <rPr>
        <rFont val="Calibri"/>
        <color theme="1"/>
      </rPr>
      <t xml:space="preserve">4. Flatfooted III: </t>
    </r>
    <r>
      <rPr>
        <rFont val="Calibri"/>
        <color theme="1"/>
        <sz val="8.0"/>
      </rPr>
      <t>an enemy caught in a combat oportunity becomes flat-footed (-15 to armor rating, minimun: 5 + Armor bonus)</t>
    </r>
  </si>
  <si>
    <r>
      <rPr>
        <rFont val="Calibri"/>
        <color theme="1"/>
      </rPr>
      <t xml:space="preserve">1. Activation Sync I: </t>
    </r>
    <r>
      <rPr>
        <rFont val="Calibri"/>
        <color theme="1"/>
        <sz val="8.0"/>
      </rPr>
      <t>Reduce activation time by 50%, minimun 1 round of sync</t>
    </r>
  </si>
  <si>
    <r>
      <rPr>
        <rFont val="Calibri"/>
        <color theme="1"/>
      </rPr>
      <t>G. Perf I -</t>
    </r>
    <r>
      <rPr>
        <rFont val="Calibri"/>
        <color theme="1"/>
        <sz val="8.0"/>
      </rPr>
      <t xml:space="preserve"> Reduce mana sensitivity cost to 1 MP</t>
    </r>
  </si>
  <si>
    <r>
      <rPr>
        <rFont val="Calibri"/>
        <color theme="1"/>
      </rPr>
      <t>5. Skill Crit 2:</t>
    </r>
    <r>
      <rPr>
        <rFont val="Calibri"/>
        <color theme="1"/>
        <sz val="9.0"/>
      </rPr>
      <t xml:space="preserve"> On a skill check of 50 or more, add targets +VIT to healing and Gains a Free Raise when rolling effect</t>
    </r>
  </si>
  <si>
    <r>
      <rPr>
        <rFont val="Calibri"/>
        <color theme="1"/>
      </rPr>
      <t xml:space="preserve">5. Skill Crit 2: </t>
    </r>
    <r>
      <rPr>
        <rFont val="Calibri"/>
        <color theme="1"/>
        <sz val="9.0"/>
      </rPr>
      <t>On a skill check of 50 or more, if the target is caught on a combat oportunity in favor to the player, the target is forced to roll a saving roll using MIND or yield a "combat Advantage" to the user during until 3 rounds, the target may roll each round to become free of this by spending a round to compose himself or enter a total defense stance. Can be used many times in a single combat but only once against a single target. the target saving roll is half of the current critical roll value with a maximun of 40. A target which has the Battle skill will not receive any additional bonus, but can use his "Battle roll" to resist</t>
    </r>
  </si>
  <si>
    <r>
      <rPr>
        <rFont val="Calibri"/>
        <color theme="1"/>
      </rPr>
      <t>2. Skill Crit 1:</t>
    </r>
    <r>
      <rPr>
        <rFont val="Calibri"/>
        <color theme="1"/>
        <sz val="8.0"/>
      </rPr>
      <t xml:space="preserve"> On a skill check of 40 or more,  the activation time is shortened by 25% and the user will add a +5 to initiative</t>
    </r>
  </si>
  <si>
    <r>
      <rPr>
        <rFont val="Calibri"/>
        <color theme="1"/>
      </rPr>
      <t>4. Sensitivity Up III:</t>
    </r>
    <r>
      <rPr>
        <rFont val="Calibri"/>
        <color theme="1"/>
        <sz val="9.0"/>
      </rPr>
      <t xml:space="preserve"> 5 meter x compound skill level</t>
    </r>
  </si>
  <si>
    <r>
      <rPr>
        <rFont val="Calibri"/>
        <color theme="1"/>
      </rPr>
      <t xml:space="preserve">3. Activation Sync II: </t>
    </r>
    <r>
      <rPr>
        <rFont val="Calibri"/>
        <color theme="1"/>
        <sz val="8.0"/>
      </rPr>
      <t>Reduce activation time by 75%, minimun 0 round of sync</t>
    </r>
  </si>
  <si>
    <r>
      <rPr>
        <rFont val="Calibri"/>
        <color theme="1"/>
      </rPr>
      <t>5. Skill Crit 2:</t>
    </r>
    <r>
      <rPr>
        <rFont val="Calibri"/>
        <color theme="1"/>
        <sz val="8.0"/>
      </rPr>
      <t xml:space="preserve"> On a skill check of 50 or more,  increases every mana sensitivity action by 100% (increases Range by 100%, MP gained by 100%, and defense score by 100%)</t>
    </r>
  </si>
  <si>
    <t>1. Healing Item: Bandages and cleaning products</t>
  </si>
  <si>
    <t>1. Battle Item: Usable and context appropiate maps and telescope or other perception tools for the battlefield</t>
  </si>
  <si>
    <r>
      <rPr>
        <rFont val="Calibri"/>
        <color theme="1"/>
      </rPr>
      <t>G. Perf I -</t>
    </r>
    <r>
      <rPr>
        <rFont val="Calibri"/>
        <color theme="1"/>
        <sz val="8.0"/>
      </rPr>
      <t xml:space="preserve"> Reduce the activation cost by 50%, a mana cost of 1 becomes 0mp, however, multiple activations will count as 0.5 each rounded up. This does not affect the item when using external energy source unless the user is capable of interacting and manipulating the source</t>
    </r>
  </si>
  <si>
    <t>Derivate Bonus</t>
  </si>
  <si>
    <t>2. Medical Application: When using medicines and restoratives which need to be "applied" the user increases the effective perform rating of the medicine. This does not work on potions and other autonomous medicine</t>
  </si>
  <si>
    <r>
      <rPr>
        <rFont val="Calibri"/>
        <color theme="1"/>
      </rPr>
      <t xml:space="preserve">3. Activation Sync III: </t>
    </r>
    <r>
      <rPr>
        <rFont val="Calibri"/>
        <color theme="1"/>
        <sz val="8.0"/>
      </rPr>
      <t>Reduce activation time by 90%, minimun 0 round of sync</t>
    </r>
  </si>
  <si>
    <t>* Spells an abilities based on Mana Sensitivity</t>
  </si>
  <si>
    <t>3. Germaphobe: When working on a clean and sterile environment your medical skills gain a free raise, a clean room as many other perks to medicine, this bonus is simply a synergy between medic and proper environment.</t>
  </si>
  <si>
    <r>
      <rPr>
        <rFont val="Calibri"/>
        <color theme="1"/>
      </rPr>
      <t>5. Skill Crit 2:</t>
    </r>
    <r>
      <rPr>
        <rFont val="Calibri"/>
        <color theme="1"/>
        <sz val="8.0"/>
      </rPr>
      <t xml:space="preserve"> On a skill check of 50 or more,  the activation time is shortened additional 50% and the user will add a +10 to initiative. (for example a 90%</t>
    </r>
  </si>
  <si>
    <t>4. Savior Complex: When performing a life threathening emergency procedure, you gain a instant +0k1 to your healing dice roll</t>
  </si>
  <si>
    <t>4.</t>
  </si>
  <si>
    <t>5. Clinically Trained: you have reached a industrial level handling and efficiency when dealing with patients, you take half the time in treating anyone. In some skills such as  "basic healing" this means double the amount of people handled during a period of time (short break)</t>
  </si>
  <si>
    <t>5.</t>
  </si>
  <si>
    <t>1. Magic Object Item: Non magical Items endowed with mana and mana stones</t>
  </si>
  <si>
    <t>6. Full Metal Medic: You can ignore 2 dice of penalty due wounds or fatigue when performing medical acts and only medical acts.</t>
  </si>
  <si>
    <t>6.</t>
  </si>
  <si>
    <t>7. Superior Medical Care: you can perform 2 medical actions simultaneously toward a single target patient, this does increase the dificulty of performancy by 5 pts (similar to a Raise). It works as follows: if the "first medical actions succeeds, then the second medical action is automatically a success too, but if the first medical action fails then only the first medical actions penalties and fail conditions are met", please keep in mind that this method is automatic for a doctor and is considered the default action. Moreover, when two medical actions are choosen the one with the highest dificulty is set as the base dificulty. NOTE: a doctor with only one hand or movility problems will have large penalty when using this advantage</t>
  </si>
  <si>
    <t>7.</t>
  </si>
  <si>
    <t>FEATS (1-4)</t>
  </si>
  <si>
    <t>Medical Inmobilizing : your patching can now inmobilize and partially restore mobility to damaged limbs, these limbs have not recovered but become stable enough to walk/move and will not cause damage to the patient when performing normal actions, however, the target must abide by a non-intensive physical action policy while using these limbs, otherwise the effect will be voided and the target must be healed again with heavy penalty. This action/skill cannot heal dead limbs or limbs with a "serious wound"(R4) or worse</t>
  </si>
  <si>
    <t>Mechanic</t>
  </si>
  <si>
    <r>
      <rPr>
        <rFont val="Calibri"/>
        <color theme="1"/>
      </rPr>
      <t xml:space="preserve">Mechanical Keen I: </t>
    </r>
    <r>
      <rPr>
        <rFont val="Calibri"/>
        <color theme="1"/>
        <sz val="8.0"/>
      </rPr>
      <t>Most mechanical items are tools from human-class type (objects made to be worn by humans), and thus they are of medium or small size and usually are of the "simple type" and thus they can be used without the need of this skill, for simple mechanical items this skill may be used to perform maintenance, however, complex mechanical items and Larger mechanical objects such as machines (for example a Mobile devise (like an automobile), need a mechanical keen in order to be used. this skill allows to use a wide variety of complex mechanical objects in a fixed "begginer level of skill". the complexity of the object establishes the level of skill needed to use. Please keep in mind that a begginer level of skill is at most something roughly barely enough to use any object with little presition so most objects requiere a superior and more specialized skill such as driving.</t>
    </r>
  </si>
  <si>
    <t>you have become able to "Discover" the hidden magic elements sleeping in the world, this means you can uncover mana which is at work concurrently and continuously such as ilutions, barriers and other continual magic. This allows the user FIND and discover hidden locations or  treasures by reading continual magic pulse, this only works along with magically induced hidden locations or places where mana was used to hide something. Example: a mana based mechanism used to move a wall, a fake wall created by mana, a mana trap which is active a waiting to be shot, an antennae or altar which is the core of a barrier or another continual area mana power.</t>
  </si>
  <si>
    <r>
      <rPr>
        <rFont val="Calibri"/>
        <color theme="1"/>
      </rPr>
      <t xml:space="preserve">Mechanical Keen II: </t>
    </r>
    <r>
      <rPr>
        <rFont val="Calibri"/>
        <color theme="1"/>
        <sz val="8.0"/>
      </rPr>
      <t>During a "Short Rest" (aprox 2hrs) period, you can perform mechanical repair on a mechanical type object or structure, the mechanical repairs will restore some of the object durability, however, it cannot recover durability above a certain threshold without the use of spare parts and pieces, you can repair as many as INT/100 +1 simple objects in a single short break, or twice if you do not rest at all (this earns 1 ranks of temporal fatigue). Repairing any object under 50% of its durability without the use of spare parts or raw materials has a high chance to permanently reducing its max durability even in a succesful repair roll. Please keep in mind</t>
    </r>
  </si>
  <si>
    <t>you are capable of "feeling" the common elements simply known as "Mana", and this allows you to be aware of any character who uses mana in their surroundings as well as the use of any magical object. The higher and more vulgar the display of mana the easier is to sense and localize this presence, you can imagine it as a sixth sence which triggers automatically in reaction to mana. This is very useful to find mana rich locations, items and even to react to sudden mana attacks such as mana based traps. In general terms the master will inform the players about sudden mana spikes nearby the user and their general direction and the user will automatically react to this stimulus, in a very vulgar display of power such as high discharge mana cannons the user may be even able to tell the target location of the cannon shot. This action is limited to "ACTIVE" mana skills which are cast or target near the user, and will not register PASSIVE mana skills or abilities which are already at work continuosly beforehand</t>
  </si>
  <si>
    <r>
      <rPr>
        <rFont val="Calibri"/>
        <color theme="1"/>
      </rPr>
      <t>Mechanical Keen III :</t>
    </r>
    <r>
      <rPr>
        <rFont val="Calibri"/>
        <color theme="1"/>
        <sz val="8.0"/>
      </rPr>
      <t xml:space="preserve"> you are capable of purpusely making a mechanical item "malfunction", it may be as simple as a wagon wheel collapsing in the right moment or a simple mechanical item misfiring in the worst moment, the targeted malfunction is useful to perform sabotage actions, but also to disable mechanical traps and other simple mechanical obstacles. Please keep in mind that the user needs access to the mechanical "core" of the object, otherwise its very dificult to allow a mechanical misfire, so a totally armored mechanical object which has its core perfectly locked is rampaging on the loose, this skill can only be useful if there is a way to access it. Moreover, like any mechanical skill it can only tamper with IRON ranked mechanical items, and bronze ranked are out of your league.</t>
    </r>
  </si>
  <si>
    <t>Note: Mechanic[C] cannot repair or mend an object with a high complexity (Bronze rank or above) or any object with a damage equivalent to "Serious Malfunction"(R4) or worse</t>
  </si>
  <si>
    <t xml:space="preserve">Drive(T1) </t>
  </si>
  <si>
    <t>Cannoner(T1)</t>
  </si>
  <si>
    <t xml:space="preserve">Mechanical Operation(T2) </t>
  </si>
  <si>
    <t>Mechanical Sabotagee(T2)</t>
  </si>
  <si>
    <t>Tinkerer (T3)</t>
  </si>
  <si>
    <t>Mana Mechanics (T3)</t>
  </si>
  <si>
    <t>Alien Mechanics (Rare)</t>
  </si>
  <si>
    <t>1.</t>
  </si>
  <si>
    <r>
      <rPr>
        <rFont val="Calibri"/>
        <color theme="1"/>
      </rPr>
      <t>5. Skill Crit 1:</t>
    </r>
    <r>
      <rPr>
        <rFont val="Calibri"/>
        <color theme="1"/>
        <sz val="9.0"/>
      </rPr>
      <t xml:space="preserve"> </t>
    </r>
  </si>
  <si>
    <t>G.Perf I -</t>
  </si>
  <si>
    <r>
      <rPr>
        <rFont val="Calibri"/>
        <color theme="1"/>
      </rPr>
      <t>5. Skill Crit 2:</t>
    </r>
    <r>
      <rPr>
        <rFont val="Calibri"/>
        <color theme="1"/>
        <sz val="9.0"/>
      </rPr>
      <t xml:space="preserve"> </t>
    </r>
  </si>
  <si>
    <t>1. Mechanical Item: Engineering tool sets such as wrench, screedriver, grease, oil, etc and other tools sets used by engineers.</t>
  </si>
  <si>
    <t>Raise 1</t>
  </si>
  <si>
    <r>
      <rPr>
        <rFont val="Calibri"/>
        <b/>
        <color theme="1"/>
        <sz val="11.0"/>
      </rPr>
      <t>Patching :</t>
    </r>
    <r>
      <rPr>
        <rFont val="Calibri"/>
        <color theme="1"/>
        <sz val="11.0"/>
      </rPr>
      <t xml:space="preserve"> </t>
    </r>
    <r>
      <rPr>
        <rFont val="Calibri"/>
        <color theme="1"/>
        <sz val="9.0"/>
      </rPr>
      <t>During a "Short Rest" (aprox 2hrs) period, you can recover additional (1k1) to target, it works only once per target after any "Long Rest" (8hrs), multiple healings cannot be stacked together. You can only heal as many as your WILL/50 people during a single short rest, while still resting yourself. otherwise, you can manage twice as much people but with no rest and adding a permanent fatigue penalty debuff</t>
    </r>
  </si>
  <si>
    <t>10's Explode</t>
  </si>
  <si>
    <r>
      <rPr>
        <rFont val="Calibri"/>
        <color theme="1"/>
      </rPr>
      <t xml:space="preserve">Combat focus - </t>
    </r>
    <r>
      <rPr>
        <rFont val="Calibri"/>
        <color theme="1"/>
        <sz val="9.0"/>
      </rPr>
      <t>resist fear and cohesion based spirit attacks automatically when in battle</t>
    </r>
  </si>
  <si>
    <r>
      <rPr>
        <rFont val="Calibri"/>
        <color theme="1"/>
      </rPr>
      <t>C. Focus II -</t>
    </r>
    <r>
      <rPr>
        <rFont val="Calibri"/>
        <color theme="1"/>
        <sz val="9.0"/>
      </rPr>
      <t xml:space="preserve"> when in combat defend against distractions automatically</t>
    </r>
  </si>
  <si>
    <t>Skill Check +1</t>
  </si>
  <si>
    <r>
      <rPr>
        <rFont val="Calibri"/>
        <b/>
        <color theme="1"/>
        <sz val="11.0"/>
      </rPr>
      <t>Meding Effect I</t>
    </r>
    <r>
      <rPr>
        <rFont val="Calibri"/>
        <color theme="1"/>
        <sz val="11.0"/>
      </rPr>
      <t>:</t>
    </r>
    <r>
      <rPr>
        <rFont val="Calibri"/>
        <color theme="1"/>
        <sz val="9.0"/>
      </rPr>
      <t xml:space="preserve"> mend bleeding wounds and stabilize health hazards or injuries ranked "minor"(R1) as base (more by performing raises)</t>
    </r>
  </si>
  <si>
    <t>Skill Check 1k0+3</t>
  </si>
  <si>
    <r>
      <rPr>
        <rFont val="Calibri"/>
        <b/>
        <color theme="1"/>
        <sz val="11.0"/>
      </rPr>
      <t xml:space="preserve">SKILL PROF 1:                                    </t>
    </r>
    <r>
      <rPr>
        <rFont val="Calibri"/>
        <b val="0"/>
        <color theme="1"/>
        <sz val="9.0"/>
      </rPr>
      <t xml:space="preserve"> Healing Item</t>
    </r>
  </si>
  <si>
    <r>
      <rPr>
        <rFont val="Calibri"/>
        <b/>
        <color theme="1"/>
        <sz val="11.0"/>
      </rPr>
      <t>Skill Crit 1</t>
    </r>
    <r>
      <rPr>
        <rFont val="Calibri"/>
        <color theme="1"/>
        <sz val="11.0"/>
      </rPr>
      <t xml:space="preserve">: </t>
    </r>
    <r>
      <rPr>
        <rFont val="Calibri"/>
        <color theme="1"/>
        <sz val="9.0"/>
      </rPr>
      <t>On a skill check of 40 or more, add targets +VIT/2 to healing and mend one rank higher of wounds (max: serious wounds)</t>
    </r>
  </si>
  <si>
    <t>Raise 2</t>
  </si>
  <si>
    <t>Skill Check +2</t>
  </si>
  <si>
    <r>
      <rPr>
        <rFont val="Calibri"/>
        <b/>
        <color theme="1"/>
        <sz val="11.0"/>
      </rPr>
      <t>Meding Effect II</t>
    </r>
    <r>
      <rPr>
        <rFont val="Calibri"/>
        <color theme="1"/>
        <sz val="11.0"/>
      </rPr>
      <t>:</t>
    </r>
    <r>
      <rPr>
        <rFont val="Calibri"/>
        <color theme="1"/>
        <sz val="9.0"/>
      </rPr>
      <t xml:space="preserve"> mend bleeding wounds and stabilize health hazards, only injuries ranked from "Minor"(R1) to "Light"(R2) as base (more by performing raises)</t>
    </r>
  </si>
  <si>
    <r>
      <rPr>
        <rFont val="Calibri"/>
        <color theme="1"/>
      </rPr>
      <t xml:space="preserve">2. Skill Crit: </t>
    </r>
    <r>
      <rPr>
        <rFont val="Calibri"/>
        <color theme="1"/>
        <sz val="9.0"/>
      </rPr>
      <t>On a skill check of 40 or more, add +10 to Resist Score</t>
    </r>
  </si>
  <si>
    <t>Skill Check 1k0+2</t>
  </si>
  <si>
    <t>SKILL UPGRADE I</t>
  </si>
  <si>
    <r>
      <rPr>
        <rFont val="Calibri"/>
        <color theme="1"/>
      </rPr>
      <t xml:space="preserve">3. Resist  by </t>
    </r>
    <r>
      <rPr>
        <rFont val="Calibri"/>
        <b/>
        <color theme="1"/>
        <sz val="11.0"/>
      </rPr>
      <t>15</t>
    </r>
  </si>
  <si>
    <r>
      <rPr>
        <rFont val="Calibri"/>
        <color theme="1"/>
        <sz val="11.0"/>
      </rPr>
      <t xml:space="preserve">G.Perf - Reaction: </t>
    </r>
    <r>
      <rPr>
        <rFont val="Calibri"/>
        <color theme="1"/>
        <sz val="9.0"/>
      </rPr>
      <t>you gain a +5 morale bonus on attack rolls and weapon damage rolls the fear affect on you for 1 round. Non Stackable</t>
    </r>
  </si>
  <si>
    <t>REQUIERES 1st FEAT</t>
  </si>
  <si>
    <r>
      <rPr>
        <rFont val="Calibri"/>
        <b/>
        <color theme="1"/>
        <sz val="11.0"/>
      </rPr>
      <t>Patching II :</t>
    </r>
    <r>
      <rPr>
        <rFont val="Calibri"/>
        <color theme="1"/>
        <sz val="11.0"/>
      </rPr>
      <t xml:space="preserve"> </t>
    </r>
    <r>
      <rPr>
        <rFont val="Calibri"/>
        <color theme="1"/>
        <sz val="9.0"/>
      </rPr>
      <t>you can perform Patching outside of a "short rest" instance by spending 10 minutes in performing a total focus action, the user is completly prone during that time, and will remain prone during 3 rounds after suspending treatment. However, the target must abide by a non-intensive physical action policy, otherwise the effect will be voided and the target must be healed again with heavy penalty, HP recovered in this way is only "temporarily" recovered until the hour time has passed which is when the recovery becomes permanent</t>
    </r>
  </si>
  <si>
    <t>Acrobacia</t>
  </si>
  <si>
    <t>Lv 1 [8]</t>
  </si>
  <si>
    <r>
      <rPr>
        <rFont val="Calibri"/>
        <b/>
        <color theme="1"/>
        <sz val="11.0"/>
      </rPr>
      <t>G. Enhace:</t>
    </r>
    <r>
      <rPr>
        <rFont val="Calibri"/>
        <b val="0"/>
        <color theme="1"/>
        <sz val="11.0"/>
      </rPr>
      <t xml:space="preserve"> Recover additional health by target +Vit score</t>
    </r>
  </si>
  <si>
    <t>SKILL UPGRADE II</t>
  </si>
  <si>
    <t>1k0+3</t>
  </si>
  <si>
    <t>Skill Actions:</t>
  </si>
  <si>
    <r>
      <rPr>
        <rFont val="Calibri"/>
        <color theme="1"/>
      </rPr>
      <t xml:space="preserve">ActionMan -  </t>
    </r>
    <r>
      <rPr>
        <rFont val="Calibri"/>
        <color theme="1"/>
        <sz val="8.0"/>
      </rPr>
      <t>perform enhanced physical action such as Running, Jumping, etc. After the action there is a temporal fatigue debuff of 1 dice penalty, stackable</t>
    </r>
  </si>
  <si>
    <r>
      <rPr>
        <rFont val="Calibri"/>
        <color theme="1"/>
      </rPr>
      <t xml:space="preserve">ActionMan II - </t>
    </r>
    <r>
      <rPr>
        <rFont val="Calibri"/>
        <color theme="1"/>
        <sz val="8.0"/>
      </rPr>
      <t>you can perform a extended Athetism action, until you stop there is no sudden fatigue penalty. Stopping means to have one round where you do not perform athetism actions or you fail your athetism skill check</t>
    </r>
  </si>
  <si>
    <t>REQUIERES 2nd FEAT</t>
  </si>
  <si>
    <t>Check</t>
  </si>
  <si>
    <t xml:space="preserve">JumpMan - </t>
  </si>
  <si>
    <t>Skill Check 1k0+4</t>
  </si>
  <si>
    <r>
      <rPr>
        <rFont val="Calibri"/>
        <b/>
        <color theme="1"/>
        <sz val="11.0"/>
      </rPr>
      <t>Meding Effect III</t>
    </r>
    <r>
      <rPr>
        <rFont val="Calibri"/>
        <color theme="1"/>
        <sz val="11.0"/>
      </rPr>
      <t>:</t>
    </r>
    <r>
      <rPr>
        <rFont val="Calibri"/>
        <color theme="1"/>
        <sz val="9.0"/>
      </rPr>
      <t xml:space="preserve"> mend bleeding wounds and stabilize health hazards, only injuries ranked from "Minor"(R1) to "Moderate"(R3) as base (more by performing raises)</t>
    </r>
  </si>
  <si>
    <t>Skill Traits</t>
  </si>
  <si>
    <t xml:space="preserve"> - Improve 75% of physical action</t>
  </si>
  <si>
    <r>
      <rPr>
        <rFont val="Calibri"/>
        <b/>
        <color theme="1"/>
        <sz val="11.0"/>
      </rPr>
      <t xml:space="preserve">SKILL PROF 2:                                    </t>
    </r>
    <r>
      <rPr>
        <rFont val="Calibri"/>
        <b val="0"/>
        <color theme="1"/>
        <sz val="9.0"/>
      </rPr>
      <t xml:space="preserve"> Healing Item</t>
    </r>
  </si>
  <si>
    <r>
      <rPr>
        <rFont val="Calibri"/>
        <b/>
        <color theme="1"/>
        <sz val="11.0"/>
      </rPr>
      <t>Skill Crit 2</t>
    </r>
    <r>
      <rPr>
        <rFont val="Calibri"/>
        <color theme="1"/>
        <sz val="11.0"/>
      </rPr>
      <t xml:space="preserve">: </t>
    </r>
    <r>
      <rPr>
        <rFont val="Calibri"/>
        <color theme="1"/>
        <sz val="9.0"/>
      </rPr>
      <t>On a skill check of 50 or more, add targets +VIT to healing and Gains a Free Raise when rolling effect</t>
    </r>
  </si>
  <si>
    <t>SKILL UPGRADE III</t>
  </si>
  <si>
    <t>Raises</t>
  </si>
  <si>
    <t xml:space="preserve"> - Reduces the amount of Fatigue produced by a Highly physical action </t>
  </si>
  <si>
    <t>10's</t>
  </si>
  <si>
    <t>Trigger</t>
  </si>
  <si>
    <r>
      <rPr>
        <rFont val="Calibri"/>
        <b/>
        <color theme="1"/>
        <sz val="9.0"/>
      </rPr>
      <t>Skill Crit:</t>
    </r>
    <r>
      <rPr>
        <rFont val="Calibri"/>
        <color theme="1"/>
        <sz val="9.0"/>
      </rPr>
      <t xml:space="preserve"> On a skill check of 40 or more, add +50% to physical action performance</t>
    </r>
  </si>
  <si>
    <t>REQUIERES Master FEAT</t>
  </si>
  <si>
    <t>Explode</t>
  </si>
  <si>
    <r>
      <rPr>
        <rFont val="Calibri"/>
        <b/>
        <color theme="1"/>
        <sz val="9.0"/>
      </rPr>
      <t>Athletism Item</t>
    </r>
    <r>
      <rPr>
        <rFont val="Calibri"/>
        <color theme="1"/>
        <sz val="9.0"/>
      </rPr>
      <t>: Specific footwear item can boost athletism</t>
    </r>
  </si>
  <si>
    <t>Skill Check 2k0+5</t>
  </si>
  <si>
    <t>Mastery PERK</t>
  </si>
  <si>
    <t>Martial Temperance</t>
  </si>
  <si>
    <t>Lv 1 [10]</t>
  </si>
  <si>
    <t>1k0+4</t>
  </si>
  <si>
    <r>
      <rPr>
        <rFont val="Calibri"/>
        <color theme="1"/>
      </rPr>
      <t xml:space="preserve">ActionMan -  </t>
    </r>
    <r>
      <rPr>
        <rFont val="Calibri"/>
        <color theme="1"/>
        <sz val="8.0"/>
      </rPr>
      <t>perform enhanced physical action such as Running, Jumping, etc. After the action there is a temporal fatigue debuff of 1 dice penalty, stackable</t>
    </r>
  </si>
  <si>
    <r>
      <rPr>
        <rFont val="Calibri"/>
        <color theme="1"/>
      </rPr>
      <t xml:space="preserve">ActionMan II - </t>
    </r>
    <r>
      <rPr>
        <rFont val="Calibri"/>
        <color theme="1"/>
        <sz val="8.0"/>
      </rPr>
      <t>you can perform a extended Athetism action, until you stop there is no sudden fatigue penalty. Stopping means to have one round where you do not perform athetism actions or you fail your athetism skill check</t>
    </r>
  </si>
  <si>
    <r>
      <rPr>
        <rFont val="Calibri"/>
        <b/>
        <color theme="1"/>
        <sz val="9.0"/>
      </rPr>
      <t>Skill Crit:</t>
    </r>
    <r>
      <rPr>
        <rFont val="Calibri"/>
        <color theme="1"/>
        <sz val="9.0"/>
      </rPr>
      <t xml:space="preserve"> On a skill check of 40 or more, add +50% to physical action performance</t>
    </r>
  </si>
  <si>
    <r>
      <rPr>
        <rFont val="Calibri"/>
        <b/>
        <color theme="1"/>
        <sz val="9.0"/>
      </rPr>
      <t>Athletism Item</t>
    </r>
    <r>
      <rPr>
        <rFont val="Calibri"/>
        <color theme="1"/>
        <sz val="9.0"/>
      </rPr>
      <t>: Specific footwear item can boost athletism</t>
    </r>
  </si>
  <si>
    <t>Support</t>
  </si>
  <si>
    <t>Root</t>
  </si>
  <si>
    <t>the simple handling of your body nimbleness including general cardio and gymnastics</t>
  </si>
  <si>
    <t>proficiency into dismantling plants, animals and monsters to extract ingredients and byproducts</t>
  </si>
  <si>
    <t>the ability to hide efficiently, it only allows to hide without movement</t>
  </si>
  <si>
    <t>the proficiency into using horses and other similar land riding mounts</t>
  </si>
  <si>
    <t>the use of hand deft movements in cunning ways to peform hand tricks</t>
  </si>
  <si>
    <t>Acting</t>
  </si>
  <si>
    <t>performing a complete interpretation of a pre-made role/script</t>
  </si>
  <si>
    <t>the ability to deal with animals and manage them without the use of force</t>
  </si>
  <si>
    <t>proficiency in lying, flattering or gaslighting others in social environments</t>
  </si>
  <si>
    <t>the ability to mediate or converse in a formal manner in social environments</t>
  </si>
  <si>
    <t>the ability to negotiate the trade of goods or advantages in a social environment</t>
  </si>
  <si>
    <t>the ability to threaten others by using simple words and bodily language</t>
  </si>
  <si>
    <t>the ability to express yourself with body language and produce basic music improvising with sounds</t>
  </si>
  <si>
    <t>the ability to sense spirits and interact with the unseen supernatural world in a simple manner</t>
  </si>
  <si>
    <t>the proficiency to gaze into the stars and other omens and derive some abstract fortune from it</t>
  </si>
  <si>
    <t>Craft</t>
  </si>
  <si>
    <t>the specialized ability to craft items usign specific tools (this ability needs to be specialized)</t>
  </si>
  <si>
    <t>the general knowledge of the subtleties of the current culture and common knowlesdge in your geographical zone</t>
  </si>
  <si>
    <t>the knowledge to use basic forms, traces, drawings and simple materials to perform very basic magic under the right conditions</t>
  </si>
  <si>
    <t>the knowledge about simple herbs and other natural plant resources</t>
  </si>
  <si>
    <t>Knowledge</t>
  </si>
  <si>
    <t>the specialized knowledge on a particular subject matter ( this ability needs to be specialized)</t>
  </si>
  <si>
    <t>the ability to understand foreign languages and decipher all manners of</t>
  </si>
  <si>
    <t>the ability to picklocks and open closed doors and other mechanism by using simple tools</t>
  </si>
  <si>
    <t>Magic Object</t>
  </si>
  <si>
    <t>proficiency into all manners of mana-fueled magical objects, and the ability to use them in a safer way</t>
  </si>
  <si>
    <t>proficiency in all manners of simple machinery and their usage</t>
  </si>
  <si>
    <t>the ability to either use and place simple traps efficiently or disable them</t>
  </si>
  <si>
    <t>keen senses capable of perceiving direct threats and other unseen dangers</t>
  </si>
  <si>
    <t>Appraisal</t>
  </si>
  <si>
    <t>proficiency into perceiving the value of things using money as a measurement with added information</t>
  </si>
  <si>
    <t>basic tactical understanding and common battle practices for warriors</t>
  </si>
  <si>
    <t>the ability to derive secrets and research related content to pursue a specific truth</t>
  </si>
  <si>
    <t>the proficiency to understand social nuances and understand a person interests in a social environment</t>
  </si>
  <si>
    <t>the knowledge about general spells and magical phenomena in a way where its easy to adress them</t>
  </si>
  <si>
    <t xml:space="preserve">proficiency in the dealings of the low ranks as well as the ability to extract information from it </t>
  </si>
  <si>
    <t>proficiency following trails and tracks of land walking creatures in natural environments</t>
  </si>
  <si>
    <t>physical prowess to climb into high places by using ledges and natural terrain roughness</t>
  </si>
  <si>
    <t>HandiCraft</t>
  </si>
  <si>
    <t>proficiency in all manners of simple crafting (non-specific), useful from repairs to crafting of improvised items, the medieval equivalent of DIY</t>
  </si>
  <si>
    <t xml:space="preserve">the physical ability to endure harsh environmental conditions and adapt to diferent </t>
  </si>
  <si>
    <t>proficiency on excavating soil, rock mining and general landwork in a efficient manner, its very physical work</t>
  </si>
  <si>
    <t>the ability to rest in a deeper and more efficient manner aiming to block out disturbances</t>
  </si>
  <si>
    <t>proficiency in cooking simple meals using common materials, it produces consumable items</t>
  </si>
  <si>
    <t>the ability to ignore and endure distractions and feints in combat to heighten your combat focus</t>
  </si>
  <si>
    <t>the production ability to work the land in order to generate produce in long terms</t>
  </si>
  <si>
    <t>the basic medical skill to treat simple wounds and other physical traumas</t>
  </si>
  <si>
    <t>the ability to keep your mental focus while enduring damages and distractions to the user</t>
  </si>
  <si>
    <t>the knowledge of the land and the ability to recognize signs of potential road dangers</t>
  </si>
  <si>
    <t>Core</t>
  </si>
  <si>
    <t>The main proficiency of physical close quarter combat using bare hands</t>
  </si>
  <si>
    <t>Light Weapons</t>
  </si>
  <si>
    <t>The main proficiency using light weapons that depend on nimbleness and presition</t>
  </si>
  <si>
    <t>Faith</t>
  </si>
  <si>
    <t>the main proficiency of using divine based miracles of different origins (requieres specialization)</t>
  </si>
  <si>
    <t>Nature Focus</t>
  </si>
  <si>
    <t>the main proficiency of using natural abilities and commune with nature</t>
  </si>
  <si>
    <t>the main proficiency of using mana based spells and abilities of mystical origin (requieres specialization)</t>
  </si>
  <si>
    <t>the main proficiency of attuning oneself with mana in your surroundings and commune with it</t>
  </si>
  <si>
    <t>Projectile Weapons</t>
  </si>
  <si>
    <t>The main proficiency using projectile weapons that depend on perception</t>
  </si>
  <si>
    <t>Heavy Armor</t>
  </si>
  <si>
    <t>The main proficiency for using medium and heavy armors such as banded, plate and composite armors</t>
  </si>
  <si>
    <t>Light Armor</t>
  </si>
  <si>
    <t>The main proficiency for using light and medium armors such as leather, armlets and padded armor</t>
  </si>
  <si>
    <t>the use of all types of melee weapons both light and heavy</t>
  </si>
  <si>
    <t>The main proficiency for attuning oneself with divine power and commune with it</t>
  </si>
  <si>
    <t>The main proficiency for self discipline and attaining clarity on combat</t>
  </si>
  <si>
    <t>Monster Carver (Basic)</t>
  </si>
  <si>
    <t>monster carver is the person who skins and extract every monster part to ensure maximun efficiency and that there is not any loss, unlike a dismantler a carver is capable of dismembering higher ranked monsters with tough skin and poisonous blood until its all usable, however, it needs special tools for diferent monsters</t>
  </si>
  <si>
    <t>Salvaging (Lesser)</t>
  </si>
  <si>
    <t>The skill to reclaim and restore, damaged structures and property without damaging them. In simplified terms allows to extract useful and expensive parts from dificult locations in order to sell or reuse them, also, it is specially important in either magical vessels recovery or a sea ship's recovery of their cargo as only a salvaging expert is capable of recovering sensitive materials in good conditions.</t>
  </si>
  <si>
    <t>Scavanging</t>
  </si>
  <si>
    <t>scavaning is an ability to loot and seek throughly for any usable items in a very efficient manner, the user is like a hound looking everywhere and everything for items to loot, its a skill that increases the both the amount of loot and more</t>
  </si>
  <si>
    <t>Camoflague (Intermediate)</t>
  </si>
  <si>
    <t>a rare version of hide, which adds the use of natural enviroment coverage to a greater effectivity in adition to hide basic cover qualities, it increases the cover value of a specific natural speciality which choosen upon taken this skill</t>
  </si>
  <si>
    <t>Cloak and Dagger (Intermediate)</t>
  </si>
  <si>
    <t>the ability to perform acts of questionable nature and hide your trail, the skill is useful to counter investigation skills</t>
  </si>
  <si>
    <t>Hide in Plain Sight (Basic)</t>
  </si>
  <si>
    <t>the ability to hide in plain sight by blending with the surroundings, this means that instead of hiding by using a cover the user is capable of blending with the active environment by performing actions which are appropiate to fit in with the surroundings, hide in plain sight is greatly influenced by the user outward appereance+C62</t>
  </si>
  <si>
    <t>Escapist (Inter)</t>
  </si>
  <si>
    <t>the skil to escape from binds such as ropes chain or simple grappling</t>
  </si>
  <si>
    <t>Prestidigitation</t>
  </si>
  <si>
    <t>refers to fine motor skills when used by performing artists in different art forms to entertain or manipulate. It is closely associated with close-up magic, card magic, card flourishing and stealing. Because of its heavy use and practice by magicians, sleight of hand is often confused as a branch of magic</t>
  </si>
  <si>
    <t>Thievery</t>
  </si>
  <si>
    <t>The ability to substract elements from a person without his knowledge, its a classic</t>
  </si>
  <si>
    <t>Beast Trainer</t>
  </si>
  <si>
    <t>the ability to train beasts of different types, it will increase the INT of the animals and allows the user to teach them tricks</t>
  </si>
  <si>
    <t>BeastMaster</t>
  </si>
  <si>
    <t>the ability to manage and control beast creatures, it allows to manage and care for these animals and increases their loyalty to the user</t>
  </si>
  <si>
    <t>Falconeer</t>
  </si>
  <si>
    <t>the ability to manage and control flying creatures, it allows to manage and care for these animals and increases their loyalty to the user</t>
  </si>
  <si>
    <t>Shepherd</t>
  </si>
  <si>
    <t>The ability to guide animals and befriend them, allowing to move large number of them</t>
  </si>
  <si>
    <t>Fawn</t>
  </si>
  <si>
    <t>the ability to adulate and curry into favor from people using sweet words and correct language, its imperative as a street etiquette for survival of the weak, it is limited to etiquettes known by the user. By spending time you can easily built a good relationship with most NPC. Fawn is seen as a despicable act by the more honorable or disciplined people, so be careful</t>
  </si>
  <si>
    <t>Masquerade</t>
  </si>
  <si>
    <t>Some people live two lives, one in the light with a public profile and other in the shadows, this is the ability to create a double life allowing the player to separate both and never be suspected</t>
  </si>
  <si>
    <t>Subterfuge</t>
  </si>
  <si>
    <t>You know how to conceal your own motives and project what you like. Furthermore, you can root out other people's motives, then use those motives against them</t>
  </si>
  <si>
    <t>Basic Conversation</t>
  </si>
  <si>
    <t>the ability to establish a pleasant exchange in a festive enviroment, conversation is a high class hobby of most nobbles and usually it entails long dinners, with storytelling and good wit and sharing, its important to gain friends in high society</t>
  </si>
  <si>
    <t>Burocracy</t>
  </si>
  <si>
    <t>the ability to work in a efficient manner in the a company or state buroucracy</t>
  </si>
  <si>
    <t>Dignity</t>
  </si>
  <si>
    <t>little words are needed, a person with tremendous dignity is someone who can project a charming and confident self, its a basic skills to leaders and lords</t>
  </si>
  <si>
    <t>Negociator (Basic)</t>
  </si>
  <si>
    <t xml:space="preserve">Negociator is the ability to use your haggling skills to negotiate and mediate in most instances, You're a deal maker, you make a living in through negotiating difficult trade. Whatever your background you are an expert at the art of negotiations. Either born with a silvered tong or forged skills through a teacher and experience, you have an uncanny ability to find the best deal no matter the situation </t>
  </si>
  <si>
    <t>Salesman</t>
  </si>
  <si>
    <t>Salesman is the skill which embodies the art of performing advances on unsuspecting people in order to offer services and productos for purchases, its really efficient to break the first barriers onto most people, but its useless with hostile targets, however, salesmen build trust upon each and every sale so their customers become sort or less their own personal network.</t>
  </si>
  <si>
    <t>Swindler</t>
  </si>
  <si>
    <t xml:space="preserve">A swindler, is adept into making people buy low quality items and trash for excessive amounts, they are regarded poorly by the merchant community but they still make a fair bit of dough. Also character capable of buying and selling item illegal items and substances, he knows who and where to buy and can sell small illegal goods in a few hours of work. </t>
  </si>
  <si>
    <t>Menace (inter)</t>
  </si>
  <si>
    <t>The ability to use intimidation effectively in battle related circumstances and overpower the enemy by using your body language and your actions rather than words, this skill becomes weak outside of battle</t>
  </si>
  <si>
    <t>Undertaker (inter)</t>
  </si>
  <si>
    <t>Fear is a useful tool for those who know how to use it, The manipulation of others through the use of threats, both stated and implied. you can interrogate, threaten and coerce others force them by the sheer strenght of your personality, or simply instill fear into them, however this skill weakens inside of the battlefield.</t>
  </si>
  <si>
    <t>War Cry (basic)</t>
  </si>
  <si>
    <t>an applied method of using intimidation by roaring or speaking loudly, its effective in the battlefield and sometimes outside of the battlefield</t>
  </si>
  <si>
    <t>Fate Walker</t>
  </si>
  <si>
    <t>the ability to follow fate and let yourself go with the current of destiny, you are a awakening as a seer and fate is showing you visions and dreams</t>
  </si>
  <si>
    <t>Fortune-Telling</t>
  </si>
  <si>
    <t>the ability to glimpse the strands of fate and destiny that make up the universe, and can gain some glimmer of insight into the future as a result</t>
  </si>
  <si>
    <t>Occultism</t>
  </si>
  <si>
    <t>The user recognizes occult paraphernalia, words, and concepts, and identifies grimoires of magic and occult codes when he sees them. This is the skill that dives deep into superstision and obscure esoteric knowledge, some of it is bullshit some of it is the gate to the abyss</t>
  </si>
  <si>
    <t>Basic Array Mastery</t>
  </si>
  <si>
    <t>the ability to peform basic arrays, allowing a wide range of applications in magic based cultures, including the making of semi-permanent magic circles</t>
  </si>
  <si>
    <t>Witchcraft</t>
  </si>
  <si>
    <t>The ancient art of witchcraft as explained by the kabbalistic witches of the modern era, its rich in occult knowledge relating to nature and magic</t>
  </si>
  <si>
    <t>Brewing</t>
  </si>
  <si>
    <t>The ability to produce distiled liquor from fruits and plants, it can be also used to ferment and distil other natural based products such as alcohol (beer, wine, etc) and any by product of distilling process.</t>
  </si>
  <si>
    <t>Horticulture</t>
  </si>
  <si>
    <t>The ability to grow plants by the means of simple seeds or plant graft, ground and water. The user is capable of tending gardens or wildplants and caring for these plants to harvest useful fruits and other natural produce.</t>
  </si>
  <si>
    <t>Potion Making</t>
  </si>
  <si>
    <t>The art of making potions and other products made by herbal processing products this is a large field of exploration and it is far reaching in its capacity to produce all sort of consumables</t>
  </si>
  <si>
    <t>Basic Philosophy</t>
  </si>
  <si>
    <t>A learned person is capable of understanding the concept of things and the ethereal behind the physical</t>
  </si>
  <si>
    <t>Basic Schoolastic Mastery</t>
  </si>
  <si>
    <t>The ability to research a wide variety of knowledges related to the parent knowledge, this is a ever growing skill, the more knowledge you posess the bigger its influence</t>
  </si>
  <si>
    <t>Encyclopedia</t>
  </si>
  <si>
    <t>a simple generalized knowledge focused on knowing about the definition of a lot of things, its useful when traveling and has a large syngergy with appraisal skill</t>
  </si>
  <si>
    <t>High Knowledge</t>
  </si>
  <si>
    <t>The ability access a particular branch of a parent knowledge, unlike the parent knowledge which is rather generalistic this is a specific form of knowlege much more focused and much more detailed about a particular subject</t>
  </si>
  <si>
    <t>Caligraphy</t>
  </si>
  <si>
    <t>Calligraphy is considered an art form by many, but it can be used in many ways as a means to deliver messages or as way to gain enlightment</t>
  </si>
  <si>
    <t>Encoding</t>
  </si>
  <si>
    <t>the ability to cipher, decipher and compress data into encoded messages, its a highly sought knowledge since most magical messages must be coded in someway. Its possible to create a cipher codex in order to create simplified cipher for common people</t>
  </si>
  <si>
    <t>Inhuman Linguistics</t>
  </si>
  <si>
    <t>the ability to translate ancient and lost languages provided that you have sufficient material to produce a codex. Otherwise, it also can generate a simplified codex of a language using enought data</t>
  </si>
  <si>
    <t>Adept Lockpicking (Inter)</t>
  </si>
  <si>
    <t>the ability to open adept level devises such as professional locks or 2nd tier locks</t>
  </si>
  <si>
    <t>Sabotague</t>
  </si>
  <si>
    <t>the ability to break down and produce malfunction on simple mechanical devises</t>
  </si>
  <si>
    <t>Security Adept (Basic)</t>
  </si>
  <si>
    <t>the skill to understand security breaches and analyze how to best protect a enclosed location</t>
  </si>
  <si>
    <t>Common Magic Object</t>
  </si>
  <si>
    <t>common objects such as rings and wands usually endowed with charges and commonly used by mages and commons</t>
  </si>
  <si>
    <t>Defense Magic Object</t>
  </si>
  <si>
    <t>objects specialized in defense and protection from magical rings, energy fields to structural defensive enchantments used only by mages usually by their large mana cost</t>
  </si>
  <si>
    <t>Scrying Magic Object</t>
  </si>
  <si>
    <t>objects specialized in information transmision and detection often used by pure mages to scout large zones or informatiion visualization</t>
  </si>
  <si>
    <t>Snare Master</t>
  </si>
  <si>
    <t>the ability to use traps hidden in plain sight</t>
  </si>
  <si>
    <t>Trap Seeker</t>
  </si>
  <si>
    <t>the proficiency to search for traps in a short amount of time</t>
  </si>
  <si>
    <t>Trapcraft</t>
  </si>
  <si>
    <t>the ability to craft simple traps using simple natural resources</t>
  </si>
  <si>
    <t>Danger Alert</t>
  </si>
  <si>
    <t>a developed sense about perceiving danger when in alert circumstances by reading subtle changes in the ambiance</t>
  </si>
  <si>
    <t>Heightened Senses (Listening)</t>
  </si>
  <si>
    <t>the proficiency to enhace your audition to distinguish small noises and perceive farther</t>
  </si>
  <si>
    <t>Heightened Senses (Smell)</t>
  </si>
  <si>
    <t>the proficiency to enhace your sense of smell to distinguish and become sensitive to details</t>
  </si>
  <si>
    <t>Heightened Senses (Vision)</t>
  </si>
  <si>
    <t>the proficiency to enhace your vision senses to perceive farther and more clear</t>
  </si>
  <si>
    <t>Watchful Alert</t>
  </si>
  <si>
    <t>the ability to keep your alert in a constant state of seeking "something"</t>
  </si>
  <si>
    <t>Human Assessment</t>
  </si>
  <si>
    <t>The ability to appraise humanoid qualities on a target, it is used mostly by slavers and slave comerce in order to determine the "quality" of a humanoid target. The skill provides extra information such as a physical conditions, underlying medical details, and any superficial information.</t>
  </si>
  <si>
    <t>Judgment (Item)</t>
  </si>
  <si>
    <t xml:space="preserve">The ability to understand items and products and class them into ranks and levels, it allows the user to understand items highlights and downsides of an item, moreover, a raise will allow the user to learn about the item from the market perspective such as rumors and basic superficial lore. It can be used to uncover an items basic abilties and passives, higher levels of the skill allow the user to know more </t>
  </si>
  <si>
    <t>Lesser Anti-Forgery</t>
  </si>
  <si>
    <t>The ability to see throught fake items and similar counterfeit elements such as counterfeit money, smuggled items and similar items trying to pass as normal while beign imitations or fake.</t>
  </si>
  <si>
    <t>Combat Coordination (inter)</t>
  </si>
  <si>
    <t>the skill to work in teams and exploit the potential of coordination in the battlefield, it includes coordinated manuvers, combination techniques or simply groupal actions. This skill bonus all forms of singular combinations where the user is part of the action at the individual level, however, groupal actions needs the user to be the leader in order for this skill to be effective</t>
  </si>
  <si>
    <t>Guerrilla Warfare (Basic)</t>
  </si>
  <si>
    <t>use of specific military tactics including ambushes, sabotage, raids, petty warfare, hit-and-run tactics, and mobility, to fight a larger and less-mobile traditional military, it emphatizes heavily on sabotage and escape so it requieres certain knowledge of the battlefield and a good amount of movility.</t>
  </si>
  <si>
    <t>Tactical Trickster (Inter)</t>
  </si>
  <si>
    <t>the use of tactics in order to influence the battlefield on a small unipersonal or group based conflicts. The trickster skill allows the user to perform tactical manouver in the battlefield to mislead the enemy and give him the wrong impresión, it can also be used to block other people tactical reading of a circumstance</t>
  </si>
  <si>
    <t>Interrogation</t>
  </si>
  <si>
    <t>the ability to extract information from a target using you observation power along with your skill in order break away lies and deceit</t>
  </si>
  <si>
    <t>Lesser Enigma</t>
  </si>
  <si>
    <t>Logic problems, puzzles and mysteries are all in the realm of Enigmas. Characters with this talent link information and hunches together to solve conundrums of all varieties, from the spiritual to the material</t>
  </si>
  <si>
    <t>Sleuth</t>
  </si>
  <si>
    <t>The development of atention to fine details as well as logical deductions, its a skill used to make sharp remaks and perceive details which easily escape the common man. You've learned to notice details others might overlook, and might make an admirable detective. This knowledge represents not only a good eye for detail, but also an ability to do research and follow leads</t>
  </si>
  <si>
    <t>Empathic Insight</t>
  </si>
  <si>
    <t xml:space="preserve"> You understand the emotions of others, and can sympathize with, feign sympathy for, or play on such emotions as you see fit. You are an easy hand at discerning motive, and might be able to pick up on when someone's lying to you. However, you may be so in tune with other people's feelings that your own emotions are affected</t>
  </si>
  <si>
    <t>Judgement (Person)</t>
  </si>
  <si>
    <t>you have developed the ability to know instinctively when people are not telling you the truth or not telling you the whole truth. There is a way they look, a tone of voice, a movement of the eyes - you can’t analyze it, but it’s always there and your instincts rarely let you down.</t>
  </si>
  <si>
    <t>Lesser Counceling</t>
  </si>
  <si>
    <t>You are skilled in helping with mental stress and treating simple mental ailments (such as Derangements) without resorting to the use of behavior-altering drugs</t>
  </si>
  <si>
    <t>Basic Magic Theory</t>
  </si>
  <si>
    <t>the ability to study, disect and understand magic, its a rather technical skill used to obtain understanding magic and the laws of the world</t>
  </si>
  <si>
    <t>Battlecraft</t>
  </si>
  <si>
    <t>the ability to use and apply magic during battle in a efficient manner, it makes the casting of magic more efficient by adjusting the user to chaotic enviroments, its a nesesary skill for mage knights</t>
  </si>
  <si>
    <t>SpellBreaker</t>
  </si>
  <si>
    <t>the ability to break magic apart by understanding its estructure and composition, this specialized skill would allow a non-mage to counter magic using basic physical components</t>
  </si>
  <si>
    <t>Broker</t>
  </si>
  <si>
    <t>the ability to obtain assets from the street in a informal manner, you can buy drugs, illegal o forbidden materials or obtain vital information but everything has a price. Unlike "black market" this skill operates in the informal exchanges rather than organized transaction</t>
  </si>
  <si>
    <t>Informant</t>
  </si>
  <si>
    <t>the ability to gather high class information and rummors, the user will be a able to quickly obtain news and details of happenings in a city scale region</t>
  </si>
  <si>
    <t>Underworld</t>
  </si>
  <si>
    <t>the ability to blend into the underworld, you can claim to be part of any gang or organized crime as long as you make some info gathering first</t>
  </si>
  <si>
    <t>Hounding</t>
  </si>
  <si>
    <t>The ability to search, seek and chase for a series of coherent marks, it is used by hunters and manhunters to search for people in dificult environments. It can also be used to search an area for specific clues where the user has a clear picture of what he is looking for.</t>
  </si>
  <si>
    <t>Hunting</t>
  </si>
  <si>
    <t>A skill focused on creating opportunities, it is used to enhace the chance of hunting wild animals by allowing the hunter to avoid begin discovered by the animal or prey and maximize oportunities.</t>
  </si>
  <si>
    <t>Tracing</t>
  </si>
  <si>
    <t>The ability to read into marks and traces in order to extract information from them, it is used by people who wants to know what happened in a near-past, when enough data has been gathered a clearer picture of the past can be drawn, however it does not produce any form of deduction or elaboration.</t>
  </si>
  <si>
    <t>Bravery (Inter)</t>
  </si>
  <si>
    <t xml:space="preserve"> a trained discipline can lead to confront the natural fears, thus becoming someone with great control over one's own weakness, this is mostly focused on fear and terror inducing attacks, but it also works to counter other heart affecting events in lesser measure</t>
  </si>
  <si>
    <t>Martial Temperance (Basic)</t>
  </si>
  <si>
    <t>A martial warrior cultivates not only the body but also their mind and spirit. This is martial temperament, skill focused on rejecting the outside influences to attain the level of abandonment of oneself</t>
  </si>
  <si>
    <t>Soldier's Way (Inter)</t>
  </si>
  <si>
    <t xml:space="preserve">The way of the soldier, a discipline trained to endure harsh conditions and stand in battle witout loosing focus despite the battlefield natural chaos. </t>
  </si>
  <si>
    <t>Astra Cultivation                                                 (Basic)</t>
  </si>
  <si>
    <t>Increase your astra slowly over time</t>
  </si>
  <si>
    <t>Deep Focus                                         (Intermediate)</t>
  </si>
  <si>
    <t>A deeper state of focus you totally ignore your surroundings</t>
  </si>
  <si>
    <t>Meditation                             (Basic)</t>
  </si>
  <si>
    <t>Recover Astra Quickly and Rest in a awake state but weak recovery power</t>
  </si>
  <si>
    <t>Tension Focus                                        (Intermediate)</t>
  </si>
  <si>
    <t>A partial focus used to cast without loosing sight of your surroundings</t>
  </si>
  <si>
    <t>Close Quarter Combat                                         (Basic)</t>
  </si>
  <si>
    <t>a specialized combat for very small spaces where kicks and punches are not allowed</t>
  </si>
  <si>
    <t>Kick Boxing                                         (Basic)</t>
  </si>
  <si>
    <t>a style focused in kicking using great movility and outfighting moves</t>
  </si>
  <si>
    <t>Pugilism                                         (Basic)</t>
  </si>
  <si>
    <t>fist fisting specialist a mix of defense and offense</t>
  </si>
  <si>
    <t>Street Fighting                                         (Intermediate)</t>
  </si>
  <si>
    <t>Dirty fighting at its best, the cultivated strenght of the streets of rage!!</t>
  </si>
  <si>
    <t>Traditional Martial Arts                                         (Basic)</t>
  </si>
  <si>
    <t>Clasical martial arts used by profesional practitioners of melee combat using only specific styles and weapons</t>
  </si>
  <si>
    <t>Barbarian Scoundrel Technique</t>
  </si>
  <si>
    <t>the technique used by barbarians in battle where the use of armor is sacrificed for higher movility while using either Mid sized weapons of types blade and blunt. It offers bonus while not using any armor or battle cloth armor</t>
  </si>
  <si>
    <t xml:space="preserve">Battle Hammer Technique </t>
  </si>
  <si>
    <t>The specialized use of one hand blunt weapons of any type weapons including both normal size and smaller sized weapons, however, only Light weapons can be used with this technique</t>
  </si>
  <si>
    <t>Footman Technique</t>
  </si>
  <si>
    <t>the techique used by profesional infantry soldiers using light or middle armors, includes the use of a series of 5 weapons known as the infantry man classic weapons (Footman's Pike, Footman's Mace, Footman's Flail, Long sword and Javelin)  , this technique is capable of using any variation of these 5 weapon. These weapons are rather common in any army or guardpost and this technique offers bonus while using light or middle armors</t>
  </si>
  <si>
    <t xml:space="preserve">Light Blade Technique </t>
  </si>
  <si>
    <t>The specialized use of one hand blade weapons of any type weapons including both normal size and smaller sized weapons, however, only Light weapons can be used with this technique</t>
  </si>
  <si>
    <t xml:space="preserve">Pikemen Technique </t>
  </si>
  <si>
    <t>The specialized use of one hand spear weapons and other piercing type weapons of any type weapons including both normal size and smaller sized weapons, however, only Light weapons can be used with this technique</t>
  </si>
  <si>
    <t>Basic, Green Blessing</t>
  </si>
  <si>
    <t>The power to channel energy of the "green" or Natural Force, this channel can be used to cast basic power. Green energy depends on the land and location, each landscape has some life and thus Green energy</t>
  </si>
  <si>
    <t>Harmony Focus</t>
  </si>
  <si>
    <t>you turn your mind into becoming one with nature, thus your spirit becomes harmonious. Resist evil magic and influences and be welcomed by the inhabitants of nature</t>
  </si>
  <si>
    <t>Lesser Nature Spirit Summoning</t>
  </si>
  <si>
    <t>the ability to summon spirits using Nature focus, harmony and offerings, its a classical staple of druids and rangers</t>
  </si>
  <si>
    <t>Natural Body Focus</t>
  </si>
  <si>
    <t>the ability to conect with nature and strenghten your body by harmonizing with the natural energy</t>
  </si>
  <si>
    <t>Natural Sense Focus</t>
  </si>
  <si>
    <t>the ability to conect with nature and expand your senses spiritually</t>
  </si>
  <si>
    <t>Basic "Elemental" Mana Method</t>
  </si>
  <si>
    <t>Application of magic in battle, cast quicker and reduce battle penalty</t>
  </si>
  <si>
    <t>Basic "Iron" Mana                      Method</t>
  </si>
  <si>
    <t>Application of magic in battle, become tougher and harder using mana</t>
  </si>
  <si>
    <t>Elemental Commute (Intermediate)</t>
  </si>
  <si>
    <t>Learn to attune your senses with the elemental energies and comute with them</t>
  </si>
  <si>
    <t>Elemental Mana II (Single elemental)</t>
  </si>
  <si>
    <t>Amplify your basic element into a stronger version of itself</t>
  </si>
  <si>
    <t>Healing Mana                                    (Basic)</t>
  </si>
  <si>
    <t>Reinforces the user natural healing factor into healing per round</t>
  </si>
  <si>
    <t>Mana Conversion (Basic)</t>
  </si>
  <si>
    <t>The principles of using mana by itself as a source of energy</t>
  </si>
  <si>
    <t>Mental Reinforcement</t>
  </si>
  <si>
    <t>It applies temporal feats in INT, PER or MIND when reinforcment is used</t>
  </si>
  <si>
    <t>Physical Reinforcement</t>
  </si>
  <si>
    <t>It applies temporal feats in STR, AGI or VIT when reinforcement is used</t>
  </si>
  <si>
    <t>Rare Elementalism (Double elemental)</t>
  </si>
  <si>
    <t>You learn to use a Secondary Superior element such as Darkness, Light or Force</t>
  </si>
  <si>
    <t>Reinforcemen Mana II                                             (Intermediate)</t>
  </si>
  <si>
    <t>Reinforcment applied to physical inanimate objects</t>
  </si>
  <si>
    <t>Square Elementalism (Four Elements)</t>
  </si>
  <si>
    <t>Diversify your mana magic into 4 different elements, all elements are still basic elements</t>
  </si>
  <si>
    <t>Transmutation Mana                                                (Basic)</t>
  </si>
  <si>
    <t>The principle of using mana to transmutate things in small scale</t>
  </si>
  <si>
    <t>Mana Attunnement I                                    (Basic)</t>
  </si>
  <si>
    <t>the ability to harness outside mana with a direct connection to you</t>
  </si>
  <si>
    <t>Mana Body                                        (Intermediate)</t>
  </si>
  <si>
    <t>the ability to harness the mana inside your own body</t>
  </si>
  <si>
    <t>Mana Detection                                             (Intermediate)</t>
  </si>
  <si>
    <t>Allows the user to sense magic nearby</t>
  </si>
  <si>
    <t>Mana Trance                                                (Basic)</t>
  </si>
  <si>
    <t>The ability to inmerse yourself into the flow of mana discarding your senses</t>
  </si>
  <si>
    <t>Superior Mana Sensitivity</t>
  </si>
  <si>
    <t>The talent to understand mana better</t>
  </si>
  <si>
    <t>Arbalist Technique</t>
  </si>
  <si>
    <t>The specialized use of crossbows in all of their portatile variety from hand crossbows to heavy mounted crossbows, however, it excludes siege weapons such as ballistae or large mounted weapons. This skill attribute is PER for any rolls, however it is usable with bows with AGI attribute with no penalty</t>
  </si>
  <si>
    <t>Barbarian Chaser Technique</t>
  </si>
  <si>
    <t>the technique used by barbarians in battle where the use of armor is sacrificed for higher movility while using either short bow, hunting bow or throwing knives. It offers bonus while not using any armor or battle cloth armor</t>
  </si>
  <si>
    <t>Basic "Falcon Warrior" Combat Method</t>
  </si>
  <si>
    <t>A combat method created by the Elven clans and turned into a methodical training system. It simply uses any type of short ranged projectile weapon such as the short bow, hand crossbow or the throwing blades to empower the user combat sense. Only one combat method can be active at any time</t>
  </si>
  <si>
    <t>Bowman Technique</t>
  </si>
  <si>
    <t>The specialized use of middle and short range bows such as the short bow or the hunting bow, it excludes long range bows such as the long and great bows.</t>
  </si>
  <si>
    <t>Crossbow Infantry Technique</t>
  </si>
  <si>
    <t>the technique used by by crossbow infantry soldiers or simply cross-bowmen, its a technique focused on the usage of light or winding crossbow and any similar crossbow in size and weight ranged, with light armor in order assamble a strong soldier unit. The technique is an all around technique and its the most popular ranged technique for soldiers and guards</t>
  </si>
  <si>
    <t>Point Blank Technique</t>
  </si>
  <si>
    <t>The specialized use of short and hand bows used when used under melee conditions, it excludes long range bows such as the long and great bows, medium bows such as the hunting bow.</t>
  </si>
  <si>
    <t>Basic "Bear Guardian" Combat Method</t>
  </si>
  <si>
    <t>A combat method created by the Orc clans and turned into a methodical training system. It simply uses any type of middle type of armor and middle type shields to develop the user combat senses.  Only one combat method can be active at any time</t>
  </si>
  <si>
    <t>Heavy Shield Technique (Basic)</t>
  </si>
  <si>
    <t>A technique focuses on the use of large shields such as tower, knight and kite shields, including all middle and large shields. Its popular for knights and defenders</t>
  </si>
  <si>
    <t>Infantryman Armor Technique (Inter)</t>
  </si>
  <si>
    <t>A technique used by hybrid and Middle type armor used to defend a position. Its a technique which maximizes the defense of middle armor while keeping a moderate mobility, you could call it an all around armor mechanic used by most soldiers</t>
  </si>
  <si>
    <t>IronClad Technique (Inter)</t>
  </si>
  <si>
    <t>A technique for users combining heavy armor and shield, its a technique which armonizes both armor and shield into a single style, only midle level shields and heavy armors can be used in this style.</t>
  </si>
  <si>
    <t>Juggernaut Armor Technique (Inter)</t>
  </si>
  <si>
    <t>A technique used by heavy and colosal type of armors users, made to be slow but extremely durable, its classically refered as "tank" type technique</t>
  </si>
  <si>
    <t>Basic "Snake Trooper" Combat Method</t>
  </si>
  <si>
    <t xml:space="preserve">A combat method created by the Dark Elven clans and turned into a methodical training system. It simply uses any type of Light type of armor and small shields to develop the user combat senses. Only one combat method can be active at any time </t>
  </si>
  <si>
    <t>BlitzClad Technique (Inter)</t>
  </si>
  <si>
    <t>Its called the agile defender, a technique created for troops which need high movility while keeping the advantages of a shield, it mixes partial light armor with hand shields or assambly shields, to produce a shock troops stronger defense. Its used by ambrushers and guerrilla units</t>
  </si>
  <si>
    <t>Gladiatior Armor Technique (Inter)</t>
  </si>
  <si>
    <t>A technique used by partial middle type armor or partial light armor used to cover the cover in a incomplete manner to keep movement at maxium at all times. Its a technique which maximizes the movility of the user by removing pieces of armor while keeping a moderate defense, you could call it specialized defense for attackers and damage dealers</t>
  </si>
  <si>
    <t>Light Shield Technique (Basic)</t>
  </si>
  <si>
    <t>A technique focuses on the use of small shields such as rodela, small and hand shields, including all small and assambly shields. Its popular for soldiers and vanguards</t>
  </si>
  <si>
    <t>Vanguard Armor Technique (Inter)</t>
  </si>
  <si>
    <t>A technique used by complete light armors users, made to keep movility and while keeping a high atack defense, its classically refered as the standart armor for most light infantry soldiers</t>
  </si>
  <si>
    <t xml:space="preserve">Axeman Technique </t>
  </si>
  <si>
    <t>The specialized use of heavy axe type weapons both in one hand and two hand forms, however, only heavy axes can be used with this technique</t>
  </si>
  <si>
    <t>Barbarian Vandal Technique</t>
  </si>
  <si>
    <t>the technique used by barbarians in battle where the use of armor is sacrificed for higher movility while using either Great blades, Great Axes or Great maces. It offers bonus while not using any armor or battle cloth armor</t>
  </si>
  <si>
    <t xml:space="preserve">Heavy Blade Technique </t>
  </si>
  <si>
    <t>The specialized use of heavy sword type weapons both in one hand and two hand forms, however, only heavy swords can be used with this technique</t>
  </si>
  <si>
    <t xml:space="preserve">Heavy Spear Technique </t>
  </si>
  <si>
    <t>The specialized use of heavy spears type weapons both in one hand and two hand forms, however, only heavy spears can be used with this technique</t>
  </si>
  <si>
    <t>Tower Soldier Technique</t>
  </si>
  <si>
    <t>the techique used by profesional heavy soldiers, who wield large weapons along with heavy armor. This is an entry level skill which uses only non-exotic two handed weapons such as great hammer, great sword, and heavy spear, it offers bonus while using heavy armor</t>
  </si>
  <si>
    <t>Sprinter</t>
  </si>
  <si>
    <t xml:space="preserve"> a skill focusing athletic capacity into sprinting and running</t>
  </si>
  <si>
    <t>Fitness</t>
  </si>
  <si>
    <t xml:space="preserve"> a skill focusing athletic ability into extended fitness and endurance</t>
  </si>
  <si>
    <t>WarHorse</t>
  </si>
  <si>
    <t>the skill used to ride high ranking horses such as trained warhorses and similar trained mounts</t>
  </si>
  <si>
    <t>Equestry</t>
  </si>
  <si>
    <t>the skill to perform all manners of manuvers while riding a mount</t>
  </si>
  <si>
    <t>the skill to draw atention and "act" in way that entertains the public</t>
  </si>
  <si>
    <t>Theatre</t>
  </si>
  <si>
    <t>the skill to perform acting in a established setting with greater inmersion</t>
  </si>
  <si>
    <t>Musical Instrument</t>
  </si>
  <si>
    <t>the skill needed to perform with a musical instrument</t>
  </si>
  <si>
    <t>Singing</t>
  </si>
  <si>
    <t>the skill needed to perform with a singing voice, skill does not guarantee the actual voice quality</t>
  </si>
  <si>
    <t>Dancing</t>
  </si>
  <si>
    <t>the skill needed to perform using body expression and similar dancing moves</t>
  </si>
  <si>
    <t>Anomaly Sense</t>
  </si>
  <si>
    <t xml:space="preserve">the skill needed to perceive supernatural begins in a more consise way, still its erratic and cannot "see" spirits </t>
  </si>
  <si>
    <t>Karmic Bond</t>
  </si>
  <si>
    <t>the skill needed to bond with a spirit and feel the bonding in some degree</t>
  </si>
  <si>
    <t>Metalwork</t>
  </si>
  <si>
    <t>the skill neded to work on metal on a very rudimentary way, similar to making horseshoes or simle cookign utencils</t>
  </si>
  <si>
    <t>Woodwork</t>
  </si>
  <si>
    <t>the skill neded to work on wood on a rough way, good for making simple furniture and basic wood tools</t>
  </si>
  <si>
    <t>Gumption</t>
  </si>
  <si>
    <t>the skill to understand the way people think within a certain zone, it allows you use local customs and prejudices to your advantage</t>
  </si>
  <si>
    <t>Folklore</t>
  </si>
  <si>
    <t>the lore of the folk, it lets you understand the common knowledge shared among the locals in a zone including their myths and trends</t>
  </si>
  <si>
    <t>Repairs</t>
  </si>
  <si>
    <t>the skill to repair mechanical items, but it cannot repair destroyed ones</t>
  </si>
  <si>
    <t>Mechanic Operation</t>
  </si>
  <si>
    <t>the skill needed to operate mechanical devises such as vehicles or simple machines</t>
  </si>
  <si>
    <t>CliffHangger</t>
  </si>
  <si>
    <t>the skill to use climbing ropes and aparel in order to secure a climb where there are no natural ways</t>
  </si>
  <si>
    <t>Freerunning</t>
  </si>
  <si>
    <t>the skill to bypass obstacles using speed and rapid weight balance</t>
  </si>
  <si>
    <t>PotionMaking</t>
  </si>
  <si>
    <t>the skill to create simple potions by cooking ingredients and storing them in small bottles, the skill does not provide recipes</t>
  </si>
  <si>
    <t>Monster Cooking</t>
  </si>
  <si>
    <t>the skill to cook monster meat with low toxicity in order to extract the toxic elements in the process</t>
  </si>
  <si>
    <t>Mending</t>
  </si>
  <si>
    <t>the skill to mend hard structures and similar crafts using simple trash items</t>
  </si>
  <si>
    <t>Survival Craft</t>
  </si>
  <si>
    <t>the skill to handicraft items from the environment when there are little or no resources avalible</t>
  </si>
  <si>
    <t>Native Climate</t>
  </si>
  <si>
    <t>the skill to adapt to specific climates and natural biomes by exposing to them on a regular basis</t>
  </si>
  <si>
    <t>Weatherproof</t>
  </si>
  <si>
    <t>the skill to endure and resist bad weather by toughening up the body and learning how to cope with each element</t>
  </si>
  <si>
    <t>Tunneling</t>
  </si>
  <si>
    <t>the skill to dig the ground and create relatively stable pathway underground over a long period of time</t>
  </si>
  <si>
    <t>RockMinning</t>
  </si>
  <si>
    <t>the skill to mine rocks and other hard ore type substances</t>
  </si>
  <si>
    <t>Deep Slumber</t>
  </si>
  <si>
    <t>the skill to protect your rest quality against disturbances while ensuring a greater recovery</t>
  </si>
  <si>
    <t>an alternative form of rest that allows for a shallow loss of conciousness in exchange of less rest quality but larger lucidity</t>
  </si>
  <si>
    <t>SymbolOfTruth II</t>
  </si>
  <si>
    <t>the divine discipline of the Symbol of Truth</t>
  </si>
  <si>
    <t>ScalesOfTruth</t>
  </si>
  <si>
    <t>the use of the symbol of truth divine icon and its power to forcefully showcase the truth</t>
  </si>
  <si>
    <t>HolyLight II</t>
  </si>
  <si>
    <t>the divine discipline of the Holy Light</t>
  </si>
  <si>
    <t>ArmorOfLight</t>
  </si>
  <si>
    <t>the use of the holy light icon and its power to increase the vitality of the user</t>
  </si>
  <si>
    <t>SacredDarkness II</t>
  </si>
  <si>
    <t>the divine discipline of the Sacred darkness</t>
  </si>
  <si>
    <t>FogOfDarkness</t>
  </si>
  <si>
    <t>the use of the sacred darkness icon and its power to create a magical fog that hides all forms</t>
  </si>
  <si>
    <t>Agriculture</t>
  </si>
  <si>
    <t>the skill to tend the land with cultivate multiple types of crops and tend to the fields</t>
  </si>
  <si>
    <t>Ranching</t>
  </si>
  <si>
    <t>the skill to tend ranch animals such as cows, goats, and others with knowledge to tend to them</t>
  </si>
  <si>
    <t>Treatment</t>
  </si>
  <si>
    <t>the skill to tend to a patient over a long period of time while caring for physical injuries</t>
  </si>
  <si>
    <t>CombatMedic</t>
  </si>
  <si>
    <t>the skill to tend to injuried combat personeel in the battlefield while doing bare minimal first aid</t>
  </si>
  <si>
    <t>Prayer</t>
  </si>
  <si>
    <t>the skill call upon the blessings of heaven by praying with a very small chance to bring positiveness</t>
  </si>
  <si>
    <t>Zeal</t>
  </si>
  <si>
    <t>the skill to deliver oneself to the divine and protect your spirit and mind by embracing faith</t>
  </si>
  <si>
    <t>Piety II</t>
  </si>
  <si>
    <t>Still Mind II</t>
  </si>
  <si>
    <t>the skill to keep calm forcefully and strenghten your lucidity even in extreme combat circumstances</t>
  </si>
  <si>
    <t>Combat Mind</t>
  </si>
  <si>
    <t xml:space="preserve">the skill to enhace combat senses and allow the user to enter a high pace mental state increasing </t>
  </si>
  <si>
    <t>Caravaneer</t>
  </si>
  <si>
    <t>a skill focused on guiding and leading a number of people safely</t>
  </si>
  <si>
    <t>Pathfinder</t>
  </si>
  <si>
    <t>a skill focused on finding lost paths in treacherous roads</t>
  </si>
  <si>
    <t>ACADEMIC</t>
  </si>
  <si>
    <t>ARTISAN</t>
  </si>
  <si>
    <t>BUTCHER</t>
  </si>
  <si>
    <t>ENGINEER</t>
  </si>
  <si>
    <t>FARMER</t>
  </si>
  <si>
    <t>HIGH CLASS</t>
  </si>
  <si>
    <t>HUNTER</t>
  </si>
  <si>
    <t>LAWMAKER</t>
  </si>
  <si>
    <t>LOW CLASS</t>
  </si>
  <si>
    <t>MERC</t>
  </si>
  <si>
    <t>MERCHANT</t>
  </si>
  <si>
    <t>MINSTREL</t>
  </si>
  <si>
    <t>MYSTIC</t>
  </si>
  <si>
    <t>PHARMASCIST</t>
  </si>
  <si>
    <t>SAVAGE</t>
  </si>
  <si>
    <t>SHOWMAN</t>
  </si>
  <si>
    <t>SURVIVALIST</t>
  </si>
  <si>
    <t>THIEF</t>
  </si>
  <si>
    <t>TRAVELLER</t>
  </si>
  <si>
    <t>WITCH</t>
  </si>
  <si>
    <t>SUPPORT</t>
  </si>
  <si>
    <t>CORE</t>
  </si>
  <si>
    <t xml:space="preserve"> - Basic Array Mastery</t>
  </si>
  <si>
    <t>Formal Magics 8</t>
  </si>
  <si>
    <t xml:space="preserve"> - Witchcraft</t>
  </si>
  <si>
    <t>Formal Magics 7</t>
  </si>
  <si>
    <t xml:space="preserve"> - Basic Magic Theory</t>
  </si>
  <si>
    <t>Spellcraft 9</t>
  </si>
  <si>
    <t xml:space="preserve"> - SpellBreaker</t>
  </si>
  <si>
    <t>Spellcraft 8</t>
  </si>
  <si>
    <t xml:space="preserve"> - Battlecraft</t>
  </si>
  <si>
    <t>Spellcraft 7</t>
  </si>
  <si>
    <t xml:space="preserve"> - Fate Walker</t>
  </si>
  <si>
    <t>Astrology 9</t>
  </si>
  <si>
    <t xml:space="preserve"> - Occultism</t>
  </si>
  <si>
    <t>Astrology 8</t>
  </si>
  <si>
    <t xml:space="preserve"> - Fortune-Telling</t>
  </si>
  <si>
    <t>Astrology 7</t>
  </si>
  <si>
    <t xml:space="preserve"> - Inhuman Linguistics</t>
  </si>
  <si>
    <t>Linguistics 9</t>
  </si>
  <si>
    <t xml:space="preserve"> - Encoding</t>
  </si>
  <si>
    <t>Linguistics 8</t>
  </si>
  <si>
    <t xml:space="preserve"> - Caligraphy</t>
  </si>
  <si>
    <t>Linguistics 7</t>
  </si>
  <si>
    <t xml:space="preserve"> - Basic Schoolastic Mastery</t>
  </si>
  <si>
    <t>Knowledge 9</t>
  </si>
  <si>
    <t xml:space="preserve"> - High Knowledge</t>
  </si>
  <si>
    <t>Knowledge 8</t>
  </si>
  <si>
    <t xml:space="preserve"> - Basic Philosophy</t>
  </si>
  <si>
    <t>Knowledge 7</t>
  </si>
  <si>
    <t xml:space="preserve"> - Encyclopedia</t>
  </si>
  <si>
    <t xml:space="preserve"> - Lesser Enigma</t>
  </si>
  <si>
    <t>Investigation 9</t>
  </si>
  <si>
    <t xml:space="preserve"> - Sleuth</t>
  </si>
  <si>
    <t>Investigation 8</t>
  </si>
  <si>
    <t xml:space="preserve"> - Interrogation</t>
  </si>
  <si>
    <t>Investigation 7</t>
  </si>
  <si>
    <t xml:space="preserve"> - Lesser Counceling</t>
  </si>
  <si>
    <t>Sense Motive 9</t>
  </si>
  <si>
    <t xml:space="preserve"> - Empathic Insight</t>
  </si>
  <si>
    <t>Sense Motive 8</t>
  </si>
  <si>
    <t xml:space="preserve"> - Judgement (Person)</t>
  </si>
  <si>
    <t>Sense Motive 7</t>
  </si>
  <si>
    <t xml:space="preserve"> - Dignity</t>
  </si>
  <si>
    <t>Diplomacy 9</t>
  </si>
  <si>
    <t xml:space="preserve"> - Basic Conversation</t>
  </si>
  <si>
    <t>Diplomacy 8</t>
  </si>
  <si>
    <t xml:space="preserve"> - Burocracy</t>
  </si>
  <si>
    <t>Diplomacy 7</t>
  </si>
  <si>
    <t xml:space="preserve"> - Informant</t>
  </si>
  <si>
    <t>Streetwise 9</t>
  </si>
  <si>
    <t xml:space="preserve"> - Underworld</t>
  </si>
  <si>
    <t>Streetwise 8</t>
  </si>
  <si>
    <t xml:space="preserve"> - Broker</t>
  </si>
  <si>
    <t>Streetwise 7</t>
  </si>
  <si>
    <t xml:space="preserve"> - Masquerade</t>
  </si>
  <si>
    <t>Bluff 9</t>
  </si>
  <si>
    <t xml:space="preserve"> - Subterfuge</t>
  </si>
  <si>
    <t>Bluff 8</t>
  </si>
  <si>
    <t xml:space="preserve"> - Fawn</t>
  </si>
  <si>
    <t>Bluff 7</t>
  </si>
  <si>
    <t>Haggle 9</t>
  </si>
  <si>
    <t>Haggle 8</t>
  </si>
  <si>
    <t>Haggle 7</t>
  </si>
  <si>
    <t>Appraisal 9</t>
  </si>
  <si>
    <t>Appraisal 8</t>
  </si>
  <si>
    <t>Appraisal 7</t>
  </si>
  <si>
    <t>Melee Weapons Lv 8</t>
  </si>
  <si>
    <t>Melee Weapons Lv 7</t>
  </si>
  <si>
    <t>Heavy Armor Lv 9</t>
  </si>
  <si>
    <t>Heavy Armor Lv 8</t>
  </si>
  <si>
    <t>Heavy Armor Lv 7</t>
  </si>
  <si>
    <t>Discipline Lv 9</t>
  </si>
  <si>
    <t>Discipline Lv 8</t>
  </si>
  <si>
    <t>Discipline Lv 7</t>
  </si>
  <si>
    <t>Intimidation Lv 9</t>
  </si>
  <si>
    <t>Intimidation Lv 8</t>
  </si>
  <si>
    <t>Intimidation Lv 7</t>
  </si>
  <si>
    <t>Battle Lv 9</t>
  </si>
  <si>
    <t>Battle Lv 8</t>
  </si>
  <si>
    <t>Battle Lv 7</t>
  </si>
  <si>
    <t>Light Weapons Lv 8</t>
  </si>
  <si>
    <t>Light Weapons Lv 7</t>
  </si>
  <si>
    <t>Light Armor Lv 9</t>
  </si>
  <si>
    <t>Light Armor Lv 8</t>
  </si>
  <si>
    <t>Light Armor Lv 7</t>
  </si>
  <si>
    <t>Hide Lv 9</t>
  </si>
  <si>
    <t>Hide Lv 8</t>
  </si>
  <si>
    <t>Hide Lv 7</t>
  </si>
  <si>
    <t>Sleight of Hand Lv 9</t>
  </si>
  <si>
    <t>Sleight of Hand Lv 8</t>
  </si>
  <si>
    <t>Sleight of Hand Lv 7</t>
  </si>
  <si>
    <t>Lockpick Lv 9</t>
  </si>
  <si>
    <t>Lockpick Lv 8</t>
  </si>
  <si>
    <t>Lockpick Lv 7</t>
  </si>
  <si>
    <t>Projectile Weapons Lv 9</t>
  </si>
  <si>
    <t>Projectile Weapons Lv 8</t>
  </si>
  <si>
    <t>Projectile Weapons Lv 7</t>
  </si>
  <si>
    <t>Nature Focus Lv 9</t>
  </si>
  <si>
    <t>Nature Focus Lv 8</t>
  </si>
  <si>
    <t>Nature Focus Lv 7</t>
  </si>
  <si>
    <t>Animal Empathy Lv 8</t>
  </si>
  <si>
    <t>Animal Empathy Lv 7</t>
  </si>
  <si>
    <t>Alert Lv 7</t>
  </si>
  <si>
    <t>Alert Lv 8</t>
  </si>
  <si>
    <t>Alert Lv 9</t>
  </si>
  <si>
    <t>Trapper Lv 9</t>
  </si>
  <si>
    <t>Trapper Lv 8</t>
  </si>
  <si>
    <t>Trapper Lv 7</t>
  </si>
  <si>
    <t>Herbalism Lv 9</t>
  </si>
  <si>
    <t>Herbalism Lv 8</t>
  </si>
  <si>
    <t>Herbalism Lv 7</t>
  </si>
  <si>
    <t>Dismantle Lv 9</t>
  </si>
  <si>
    <t>Dismantle Lv 8</t>
  </si>
  <si>
    <t>Dismantle Lv 7</t>
  </si>
  <si>
    <t>Tracking Lv 9</t>
  </si>
  <si>
    <t>Tracking Lv 8</t>
  </si>
  <si>
    <t>Tracking Lv 7</t>
  </si>
  <si>
    <t>Mana Sensitivity Lv 9</t>
  </si>
  <si>
    <t>Mana Sensitivity Lv 8</t>
  </si>
  <si>
    <t>Mana Sensitivity Lv 7</t>
  </si>
  <si>
    <t>Magic Object Lv 7</t>
  </si>
  <si>
    <t>Magic Object Lv 8</t>
  </si>
  <si>
    <t>Magic Object Lv 9</t>
  </si>
  <si>
    <t>Brawling Lv 9</t>
  </si>
  <si>
    <t>Brawling Lv 8</t>
  </si>
  <si>
    <t>Brawling Lv 7</t>
  </si>
  <si>
    <t>100 - 109</t>
  </si>
  <si>
    <t>400+</t>
  </si>
  <si>
    <t>Traits</t>
  </si>
  <si>
    <t>penalty 1</t>
  </si>
  <si>
    <t>penalty 2</t>
  </si>
  <si>
    <t>Gain 1</t>
  </si>
  <si>
    <t>Gain 2</t>
  </si>
  <si>
    <t>Raw physical strength, Strength is a measure of your physical power. It affects how much you can carry, and the damage of all melee attacks</t>
  </si>
  <si>
    <t>Puny Human</t>
  </si>
  <si>
    <t>Can barely throw a punch.</t>
  </si>
  <si>
    <t>Loot Carrier</t>
  </si>
  <si>
    <t>Just here to barely haul gear.</t>
  </si>
  <si>
    <t>Featherweight</t>
  </si>
  <si>
    <t>you can live by with normal physical labor</t>
  </si>
  <si>
    <t>Brawny</t>
  </si>
  <si>
    <t>strong body and some more</t>
  </si>
  <si>
    <t>Bruiser</t>
  </si>
  <si>
    <t>Can take a hit and keep on swinging</t>
  </si>
  <si>
    <t>Tanky</t>
  </si>
  <si>
    <t>Tough and powerful, reliable in combat.</t>
  </si>
  <si>
    <t>Powerhouse</t>
  </si>
  <si>
    <t>Impressive; can crush through most obstacles</t>
  </si>
  <si>
    <t>Juggernaut</t>
  </si>
  <si>
    <t>A specialist in feats of strength, lifting or smashing anything</t>
  </si>
  <si>
    <t>Carry Weigt</t>
  </si>
  <si>
    <t>Melee Damage</t>
  </si>
  <si>
    <t>Armor Handling</t>
  </si>
  <si>
    <t>WeakArm</t>
  </si>
  <si>
    <t>Inner Strenght</t>
  </si>
  <si>
    <t>Rubbery Muscles</t>
  </si>
  <si>
    <t>Coordination and the ability to move well. Agility is a measure of your overall finesse and reflexes. It affects the your movement rate and natural dodge</t>
  </si>
  <si>
    <t xml:space="preserve"> Stumbler</t>
  </si>
  <si>
    <t>Moves with all the grace of a stone rolling uphill.</t>
  </si>
  <si>
    <t>Cart-Puller</t>
  </si>
  <si>
    <t>Moves like they’re wading through mud.</t>
  </si>
  <si>
    <t>Steady</t>
  </si>
  <si>
    <t>Quick enough for normal life; can dodge and keep up</t>
  </si>
  <si>
    <t>Nimble Toes</t>
  </si>
  <si>
    <t>Moves with purpose, maybe even style.</t>
  </si>
  <si>
    <t>Deft Hands</t>
  </si>
  <si>
    <t>Steady under pressure, even in precarious spots</t>
  </si>
  <si>
    <t>Evasionist</t>
  </si>
  <si>
    <t>Moves with expert control and finesse</t>
  </si>
  <si>
    <t>SpeedDemon</t>
  </si>
  <si>
    <t>Gets from A to B fast enough to impress.</t>
  </si>
  <si>
    <t>WindStrider</t>
  </si>
  <si>
    <t>A specialist in dodging and navigating danger.</t>
  </si>
  <si>
    <t>Movement Speed</t>
  </si>
  <si>
    <t>Armor Bonus</t>
  </si>
  <si>
    <t>Lame</t>
  </si>
  <si>
    <t>Unreactive</t>
  </si>
  <si>
    <t>Coordination</t>
  </si>
  <si>
    <t>High Tension</t>
  </si>
  <si>
    <t>Knowledge and the ability to think quickly. Intelligence is a measure of your overall mental acuity. It affects your situacional judgement and overal capacity to learn</t>
  </si>
  <si>
    <t>No-Brainer</t>
  </si>
  <si>
    <t>Struggles with most tasks; easily confused.</t>
  </si>
  <si>
    <t>Rockhead</t>
  </si>
  <si>
    <t>Thick, slow, and unmoving.</t>
  </si>
  <si>
    <t>Clearminded</t>
  </si>
  <si>
    <t>clever and thoughtful for common tasks</t>
  </si>
  <si>
    <t>Smart Ass</t>
  </si>
  <si>
    <t>Knows a bit about everything</t>
  </si>
  <si>
    <t>Problem Solver</t>
  </si>
  <si>
    <t>Thinks on their feet effectively.</t>
  </si>
  <si>
    <t>Astute</t>
  </si>
  <si>
    <t>your average sleuth Quick-witted and perceptive</t>
  </si>
  <si>
    <t>Savant</t>
  </si>
  <si>
    <t>a brute force of the mind, capable of solving problems beyond others' reach</t>
  </si>
  <si>
    <t>Dr Nerdminator</t>
  </si>
  <si>
    <t>A true authority on complicated issues, A specialist in knowledge and thought.</t>
  </si>
  <si>
    <t>Memory Slots</t>
  </si>
  <si>
    <t>Mana Discipline</t>
  </si>
  <si>
    <t>Frail Mind</t>
  </si>
  <si>
    <t>Arcane Fatigue</t>
  </si>
  <si>
    <t>Voracious Reader</t>
  </si>
  <si>
    <t>Calculus</t>
  </si>
  <si>
    <t>The ability to see, hear, taste and notice unusual things. Perception affects your awareness of nearby enemies, your ability to detect stealthy movement, and your ability to realice environment changes</t>
  </si>
  <si>
    <t>Sleeper</t>
  </si>
  <si>
    <t>Lost in their thoughts most of the time.</t>
  </si>
  <si>
    <t>Foggy</t>
  </si>
  <si>
    <t>Notices only what’s directly in front of them.</t>
  </si>
  <si>
    <t>Half-Awake</t>
  </si>
  <si>
    <t>Perceptive enough to avoid walking into walls</t>
  </si>
  <si>
    <t>Early Bird</t>
  </si>
  <si>
    <t>perceptive enough to catch details before anyone</t>
  </si>
  <si>
    <t>Hound</t>
  </si>
  <si>
    <t>Picks up on signs like a hound</t>
  </si>
  <si>
    <t>FoxChaser</t>
  </si>
  <si>
    <t>A true bird of prey never lets its target get away</t>
  </si>
  <si>
    <t>Hawkeye</t>
  </si>
  <si>
    <t>Always looking for the hidden and distant.</t>
  </si>
  <si>
    <t>3rd Eye</t>
  </si>
  <si>
    <t>Perception so sharp it borders on supernatural.</t>
  </si>
  <si>
    <t>Natural Detection</t>
  </si>
  <si>
    <t>Environment Sensitivity</t>
  </si>
  <si>
    <t>Still Mind</t>
  </si>
  <si>
    <t>Murky-Eyed</t>
  </si>
  <si>
    <t>Inattentive</t>
  </si>
  <si>
    <t>Explorer</t>
  </si>
  <si>
    <t>Death Sense</t>
  </si>
  <si>
    <t>mental fortitude and the ability to think on your feet or practical thinking and common sense, its often related to keeping your composure and using your instincts</t>
  </si>
  <si>
    <t>Clueless</t>
  </si>
  <si>
    <t>Lost in every sense of the word</t>
  </si>
  <si>
    <t>Gut Thinker</t>
  </si>
  <si>
    <t>Decisions seem to come from their stomach</t>
  </si>
  <si>
    <t>Cautious</t>
  </si>
  <si>
    <t>Balances common sense with decisions</t>
  </si>
  <si>
    <t>Level Headed</t>
  </si>
  <si>
    <t>a good and cautious head on your shoulders</t>
  </si>
  <si>
    <t>Truthseeker</t>
  </si>
  <si>
    <t>Digs out hidden truths and details with his insight</t>
  </si>
  <si>
    <t>Determined</t>
  </si>
  <si>
    <t>a unshakeable will to reach the conclusion</t>
  </si>
  <si>
    <t>Wiseman-ish</t>
  </si>
  <si>
    <t>Occasionally mistaken for a true sage</t>
  </si>
  <si>
    <t>Stargazer</t>
  </si>
  <si>
    <t>Reads the patterns of the world effortlessly</t>
  </si>
  <si>
    <t>Guts</t>
  </si>
  <si>
    <t>Composure</t>
  </si>
  <si>
    <t>Naive</t>
  </si>
  <si>
    <t>Ascetic</t>
  </si>
  <si>
    <t>A combination of appearance, presence and charm. Charisma is your ability to lead and help others and affects your gut feelings or emphatic sensitivity</t>
  </si>
  <si>
    <t>Wallflower</t>
  </si>
  <si>
    <t>Blends into the background (and not on purpose).</t>
  </si>
  <si>
    <t>Fumbletongue</t>
  </si>
  <si>
    <t>struggles to say the right thing</t>
  </si>
  <si>
    <t>Barely Friendly</t>
  </si>
  <si>
    <t>Likeable enough to win a handshake</t>
  </si>
  <si>
    <t>Firestarter</t>
  </si>
  <si>
    <t>Draws others in with warmth and energy</t>
  </si>
  <si>
    <t>Crowdpleaser</t>
  </si>
  <si>
    <t>A relatable and likable personality</t>
  </si>
  <si>
    <t>Heartbreaker</t>
  </si>
  <si>
    <t>Spins words and emotions like threads</t>
  </si>
  <si>
    <t>Silvertounge</t>
  </si>
  <si>
    <t>Speaks with persuasion and charm</t>
  </si>
  <si>
    <t>Wordsmith</t>
  </si>
  <si>
    <t>Words so powerful they could topple thrones</t>
  </si>
  <si>
    <t>Empathy</t>
  </si>
  <si>
    <t>Charm</t>
  </si>
  <si>
    <t>Irrelevant</t>
  </si>
  <si>
    <t>Toad</t>
  </si>
  <si>
    <t>Inspirational</t>
  </si>
  <si>
    <t>Karmic Beacon</t>
  </si>
  <si>
    <t>BOD</t>
  </si>
  <si>
    <t>Stamina and physical toughness, a measure of overall physical fitness. It affects your total health and your overall ability to handle fatigue</t>
  </si>
  <si>
    <t>Frail</t>
  </si>
  <si>
    <t>a frail body often sickly</t>
  </si>
  <si>
    <t>Healthy</t>
  </si>
  <si>
    <t>a simple common healthy body</t>
  </si>
  <si>
    <t>Robust</t>
  </si>
  <si>
    <t>a strong body able to endure most ordeals</t>
  </si>
  <si>
    <t>Booming</t>
  </si>
  <si>
    <t>an iron body forged on pure effort that can withstand anything</t>
  </si>
  <si>
    <t>Stamina</t>
  </si>
  <si>
    <t>Toughness</t>
  </si>
  <si>
    <t>Small</t>
  </si>
  <si>
    <t>Sickly</t>
  </si>
  <si>
    <t>Big</t>
  </si>
  <si>
    <t>Browny</t>
  </si>
  <si>
    <t>learning and inspiration, a measure of your mind power and overall overclocking capacity. It advantages your growth each level and insight to derive things</t>
  </si>
  <si>
    <t>Bumbling</t>
  </si>
  <si>
    <t xml:space="preserve"> liable to make awkward blunder, clumsily incompetent or ineffectual</t>
  </si>
  <si>
    <t>Slacker</t>
  </si>
  <si>
    <t>commonly evades their duty or work</t>
  </si>
  <si>
    <t>Skilled</t>
  </si>
  <si>
    <t>a skilled and dilligent person that easily absorbs anything</t>
  </si>
  <si>
    <t>Brilliant</t>
  </si>
  <si>
    <t xml:space="preserve">a brilliant person capable of learning anything </t>
  </si>
  <si>
    <t>Inspiration</t>
  </si>
  <si>
    <t>PP</t>
  </si>
  <si>
    <t>One Trick Pony</t>
  </si>
  <si>
    <t>Savant Syndrome</t>
  </si>
  <si>
    <t>Talented</t>
  </si>
  <si>
    <t>Higher Education</t>
  </si>
  <si>
    <t>supernatual sense and spirit awareness, a measure of your overall morale and confidence, it affects your total Mana and your ability to handle stress</t>
  </si>
  <si>
    <t>Lethargic</t>
  </si>
  <si>
    <t>little will to live, a spirit not very different from plants</t>
  </si>
  <si>
    <t>Craven</t>
  </si>
  <si>
    <t>a weak spirit that easily bends</t>
  </si>
  <si>
    <t>Bold</t>
  </si>
  <si>
    <t>a strong spirit that can step forward in face of dangers</t>
  </si>
  <si>
    <t>Dauntless</t>
  </si>
  <si>
    <t>a fearless person that shines in the moments of needs</t>
  </si>
  <si>
    <t>Morale</t>
  </si>
  <si>
    <t>Awareness</t>
  </si>
  <si>
    <t>Coward</t>
  </si>
  <si>
    <t>Driven</t>
  </si>
  <si>
    <t>LionHeart</t>
  </si>
  <si>
    <t>Strong Spirit</t>
  </si>
  <si>
    <t>VIT</t>
  </si>
  <si>
    <t>a measure of your overall vigor or physical energy, it directly affects your HP and your overall recovery</t>
  </si>
  <si>
    <t>Withered Husk</t>
  </si>
  <si>
    <t>a husk with little amount of lifeforce, barely alive</t>
  </si>
  <si>
    <t>ToughCookie</t>
  </si>
  <si>
    <t>Can take a beating, Not impressive, but not embarrassing either</t>
  </si>
  <si>
    <t>Meatshield</t>
  </si>
  <si>
    <t>a strong lifeforce that stubbornly clinges to life despite damage</t>
  </si>
  <si>
    <t>Inmortal Wannabe</t>
  </si>
  <si>
    <t>a relentless lifeforce that never gives up like a weed that seems untouchable by death</t>
  </si>
  <si>
    <t>Recovery (HP)</t>
  </si>
  <si>
    <t>HP</t>
  </si>
  <si>
    <t>Hard to Heal</t>
  </si>
  <si>
    <t>Phantom Pain</t>
  </si>
  <si>
    <t>Easy to Heal</t>
  </si>
  <si>
    <t>Scorpion Eater</t>
  </si>
  <si>
    <t>AST</t>
  </si>
  <si>
    <t>a measure of your overall mana attunement or mystical energy, it directly affects your MP and your spiritual recovery</t>
  </si>
  <si>
    <t>Sparkless</t>
  </si>
  <si>
    <t>struggles to feel or understand any form of mana</t>
  </si>
  <si>
    <t>Burntout</t>
  </si>
  <si>
    <t>a common person that requieres great effort to reach the mystical force</t>
  </si>
  <si>
    <t>Glowstick</t>
  </si>
  <si>
    <t>a strong mana that can be seen in the subtle glow of their irises</t>
  </si>
  <si>
    <t>Overloaded</t>
  </si>
  <si>
    <t>a person with abundant mana that can be perceived in most of their actions</t>
  </si>
  <si>
    <t>Recovery (MP)</t>
  </si>
  <si>
    <t>MP</t>
  </si>
  <si>
    <t>Lunatic</t>
  </si>
  <si>
    <t>LucidProne</t>
  </si>
  <si>
    <t>Spirit Recovery</t>
  </si>
  <si>
    <t>Mana Core</t>
  </si>
  <si>
    <t>FATE</t>
  </si>
  <si>
    <t>a measure of general good fortune, and affects the player interference on the character's circumstances and Events / situations will be changed by how lucky (or unlucky) your character is</t>
  </si>
  <si>
    <t>Doom Chaser</t>
  </si>
  <si>
    <t>Always stumbling into the worst possible outcomes</t>
  </si>
  <si>
    <t>Fate’s Fool</t>
  </si>
  <si>
    <t>Life feels like a cruel joke, and they’re the punchline.</t>
  </si>
  <si>
    <t>Fate’s Magnet</t>
  </si>
  <si>
    <t>Seems like fate is still figuring them out</t>
  </si>
  <si>
    <t>Choosen-ish</t>
  </si>
  <si>
    <t>FATE clearly likes them, but not too much</t>
  </si>
  <si>
    <t>Fortune</t>
  </si>
  <si>
    <t>Inteference</t>
  </si>
  <si>
    <t>Trouble Magnet</t>
  </si>
  <si>
    <t>Critical Miss</t>
  </si>
  <si>
    <t>Lucky!</t>
  </si>
  <si>
    <t>Fortune Finder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</si>
</sst>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 #,##0_ ;_ * \-#,##0_ ;_ * &quot;-&quot;_ ;_ @_ "/>
  </numFmts>
  <fonts count="49">
    <font>
      <sz val="11.0"/>
      <color theme="1"/>
      <name val="Calibri"/>
      <scheme val="minor"/>
    </font>
    <font>
      <color theme="1"/>
      <name val="Calibri"/>
      <scheme val="minor"/>
    </font>
    <font>
      <b/>
      <sz val="11.0"/>
      <color theme="1"/>
      <name val="Calibri"/>
    </font>
    <font/>
    <font>
      <sz val="48.0"/>
      <color theme="1"/>
      <name val="Calibri"/>
    </font>
    <font>
      <b/>
      <sz val="11.0"/>
      <color rgb="FF833C0B"/>
      <name val="Calibri"/>
    </font>
    <font>
      <b/>
      <sz val="12.0"/>
      <color theme="1"/>
      <name val="Calibri"/>
    </font>
    <font>
      <b/>
      <sz val="18.0"/>
      <color rgb="FF005654"/>
      <name val="Calibri"/>
    </font>
    <font>
      <b/>
      <sz val="16.0"/>
      <color rgb="FF005654"/>
      <name val="Bahnschrift SemiCondensed"/>
    </font>
    <font>
      <b/>
      <sz val="18.0"/>
      <color rgb="FF008080"/>
      <name val="Calibri"/>
    </font>
    <font>
      <b/>
      <sz val="18.0"/>
      <color theme="0"/>
      <name val="Calibri"/>
    </font>
    <font>
      <sz val="14.0"/>
      <color theme="0"/>
      <name val="Bahnschrift SemiCondensed"/>
    </font>
    <font>
      <sz val="9.0"/>
      <color theme="1"/>
      <name val="Calibri"/>
    </font>
    <font>
      <b/>
      <sz val="16.0"/>
      <color theme="1"/>
      <name val="Calibri"/>
    </font>
    <font>
      <i/>
      <sz val="8.0"/>
      <color theme="0"/>
      <name val="Calibri"/>
    </font>
    <font>
      <sz val="10.0"/>
      <color rgb="FF3F3F3F"/>
      <name val="Bahnschrift Condensed"/>
    </font>
    <font>
      <sz val="9.0"/>
      <color theme="0"/>
      <name val="Calibri"/>
    </font>
    <font>
      <sz val="9.0"/>
      <color rgb="FF7030A0"/>
      <name val="Bahnschrift Condensed"/>
    </font>
    <font>
      <sz val="10.0"/>
      <color rgb="FFFFFF00"/>
      <name val="Bahnschrift Condensed"/>
    </font>
    <font>
      <sz val="9.0"/>
      <color rgb="FFFFFF00"/>
      <name val="Calibri"/>
    </font>
    <font>
      <sz val="9.0"/>
      <color rgb="FFFFFF00"/>
      <name val="Bahnschrift Condensed"/>
    </font>
    <font>
      <sz val="11.0"/>
      <color theme="1"/>
      <name val="Calibri"/>
    </font>
    <font>
      <b/>
      <sz val="18.0"/>
      <color rgb="FF003E3D"/>
      <name val="Calibri"/>
    </font>
    <font>
      <b/>
      <sz val="16.0"/>
      <color rgb="FF003E3D"/>
      <name val="Bahnschrift SemiCondensed"/>
    </font>
    <font>
      <b/>
      <sz val="18.0"/>
      <color rgb="FF002756"/>
      <name val="Calibri"/>
    </font>
    <font>
      <b/>
      <sz val="16.0"/>
      <color rgb="FF002756"/>
      <name val="Bahnschrift SemiCondensed"/>
    </font>
    <font>
      <b/>
      <sz val="18.0"/>
      <color rgb="FF00698A"/>
      <name val="Calibri"/>
    </font>
    <font>
      <b/>
      <sz val="16.0"/>
      <color rgb="FF00698A"/>
      <name val="Bahnschrift SemiCondensed"/>
    </font>
    <font>
      <sz val="11.0"/>
      <color theme="1"/>
      <name val="Bahnschrift Light Condensed"/>
    </font>
    <font>
      <b/>
      <sz val="18.0"/>
      <color rgb="FF370155"/>
      <name val="Calibri"/>
    </font>
    <font>
      <b/>
      <sz val="16.0"/>
      <color rgb="FF370155"/>
      <name val="Bahnschrift SemiCondensed"/>
    </font>
    <font>
      <b/>
      <sz val="18.0"/>
      <color rgb="FF35008A"/>
      <name val="Calibri"/>
    </font>
    <font>
      <b/>
      <sz val="18.0"/>
      <color theme="0"/>
      <name val="Bahnschrift SemiCondensed"/>
    </font>
    <font>
      <b/>
      <sz val="18.0"/>
      <color theme="1"/>
      <name val="Calibri"/>
    </font>
    <font>
      <sz val="10.0"/>
      <color theme="0"/>
      <name val="Bahnschrift Condensed"/>
    </font>
    <font>
      <b/>
      <sz val="18.0"/>
      <color rgb="FF550101"/>
      <name val="Calibri"/>
    </font>
    <font>
      <b/>
      <sz val="18.0"/>
      <color rgb="FF8A0000"/>
      <name val="Calibri"/>
    </font>
    <font>
      <b/>
      <sz val="14.0"/>
      <color theme="1"/>
      <name val="Calibri"/>
    </font>
    <font>
      <b/>
      <sz val="11.0"/>
      <color rgb="FFC00000"/>
      <name val="Calibri"/>
    </font>
    <font>
      <b/>
      <sz val="9.0"/>
      <color rgb="FFFF0000"/>
      <name val="Calibri"/>
    </font>
    <font>
      <b/>
      <sz val="9.0"/>
      <color theme="1"/>
      <name val="Calibri"/>
    </font>
    <font>
      <b/>
      <sz val="14.0"/>
      <color rgb="FFFF0000"/>
      <name val="Calibri"/>
    </font>
    <font>
      <i/>
      <sz val="9.0"/>
      <color theme="1"/>
      <name val="Calibri"/>
    </font>
    <font>
      <b/>
      <sz val="11.0"/>
      <color rgb="FFFF0000"/>
      <name val="Calibri"/>
    </font>
    <font>
      <b/>
      <sz val="11.0"/>
      <color theme="0"/>
      <name val="Calibri"/>
    </font>
    <font>
      <sz val="11.0"/>
      <color theme="0"/>
      <name val="Calibri"/>
    </font>
    <font>
      <b/>
      <sz val="10.0"/>
      <color rgb="FFC55A11"/>
      <name val="Calibri"/>
    </font>
    <font>
      <b/>
      <sz val="10.0"/>
      <color theme="1"/>
      <name val="Calibri"/>
    </font>
    <font>
      <b/>
      <sz val="11.0"/>
      <color rgb="FF00B0F0"/>
      <name val="Calibri"/>
    </font>
  </fonts>
  <fills count="45">
    <fill>
      <patternFill patternType="none"/>
    </fill>
    <fill>
      <patternFill patternType="lightGray"/>
    </fill>
    <fill>
      <patternFill patternType="solid">
        <fgColor rgb="FFFEF2CB"/>
        <bgColor rgb="FFFEF2CB"/>
      </patternFill>
    </fill>
    <fill>
      <patternFill patternType="solid">
        <fgColor rgb="FFFFD965"/>
        <bgColor rgb="FFFFD965"/>
      </patternFill>
    </fill>
    <fill>
      <patternFill patternType="solid">
        <fgColor rgb="FFFFFF00"/>
        <bgColor rgb="FFFFFF00"/>
      </patternFill>
    </fill>
    <fill>
      <patternFill patternType="solid">
        <fgColor rgb="FFF1F7ED"/>
        <bgColor rgb="FFF1F7ED"/>
      </patternFill>
    </fill>
    <fill>
      <patternFill patternType="solid">
        <fgColor rgb="FFB3E1BD"/>
        <bgColor rgb="FFB3E1BD"/>
      </patternFill>
    </fill>
    <fill>
      <patternFill patternType="solid">
        <fgColor rgb="FF56886D"/>
        <bgColor rgb="FF56886D"/>
      </patternFill>
    </fill>
    <fill>
      <patternFill patternType="solid">
        <fgColor rgb="FF008A87"/>
        <bgColor rgb="FF008A87"/>
      </patternFill>
    </fill>
    <fill>
      <patternFill patternType="solid">
        <fgColor rgb="FF005654"/>
        <bgColor rgb="FF005654"/>
      </patternFill>
    </fill>
    <fill>
      <patternFill patternType="solid">
        <fgColor rgb="FF003E3D"/>
        <bgColor rgb="FF003E3D"/>
      </patternFill>
    </fill>
    <fill>
      <patternFill patternType="solid">
        <fgColor rgb="FFD0CECE"/>
        <bgColor rgb="FFD0CECE"/>
      </patternFill>
    </fill>
    <fill>
      <patternFill patternType="solid">
        <fgColor rgb="FFEFEDF7"/>
        <bgColor rgb="FFEFEDF7"/>
      </patternFill>
    </fill>
    <fill>
      <patternFill patternType="solid">
        <fgColor rgb="FFB4CDE0"/>
        <bgColor rgb="FFB4CDE0"/>
      </patternFill>
    </fill>
    <fill>
      <patternFill patternType="solid">
        <fgColor rgb="FF00698A"/>
        <bgColor rgb="FF00698A"/>
      </patternFill>
    </fill>
    <fill>
      <patternFill patternType="solid">
        <fgColor rgb="FF002F56"/>
        <bgColor rgb="FF002F56"/>
      </patternFill>
    </fill>
    <fill>
      <patternFill patternType="solid">
        <fgColor rgb="FF567588"/>
        <bgColor rgb="FF567588"/>
      </patternFill>
    </fill>
    <fill>
      <patternFill patternType="solid">
        <fgColor rgb="FF00233E"/>
        <bgColor rgb="FF00233E"/>
      </patternFill>
    </fill>
    <fill>
      <patternFill patternType="solid">
        <fgColor rgb="FFF7EDF6"/>
        <bgColor rgb="FFF7EDF6"/>
      </patternFill>
    </fill>
    <fill>
      <patternFill patternType="solid">
        <fgColor rgb="FFB5B4E0"/>
        <bgColor rgb="FFB5B4E0"/>
      </patternFill>
    </fill>
    <fill>
      <patternFill patternType="solid">
        <fgColor rgb="FF580189"/>
        <bgColor rgb="FF580189"/>
      </patternFill>
    </fill>
    <fill>
      <patternFill patternType="solid">
        <fgColor rgb="FF350056"/>
        <bgColor rgb="FF350056"/>
      </patternFill>
    </fill>
    <fill>
      <patternFill patternType="solid">
        <fgColor rgb="FF9282B2"/>
        <bgColor rgb="FF9282B2"/>
      </patternFill>
    </fill>
    <fill>
      <patternFill patternType="solid">
        <fgColor rgb="FF30013D"/>
        <bgColor rgb="FF30013D"/>
      </patternFill>
    </fill>
    <fill>
      <patternFill patternType="solid">
        <fgColor rgb="FFF7EDEE"/>
        <bgColor rgb="FFF7EDEE"/>
      </patternFill>
    </fill>
    <fill>
      <patternFill patternType="solid">
        <fgColor rgb="FFE0B4B4"/>
        <bgColor rgb="FFE0B4B4"/>
      </patternFill>
    </fill>
    <fill>
      <patternFill patternType="solid">
        <fgColor rgb="FF8A0000"/>
        <bgColor rgb="FF8A0000"/>
      </patternFill>
    </fill>
    <fill>
      <patternFill patternType="solid">
        <fgColor rgb="FF560000"/>
        <bgColor rgb="FF560000"/>
      </patternFill>
    </fill>
    <fill>
      <patternFill patternType="solid">
        <fgColor rgb="FFB28282"/>
        <bgColor rgb="FFB28282"/>
      </patternFill>
    </fill>
    <fill>
      <patternFill patternType="solid">
        <fgColor rgb="FF3D0107"/>
        <bgColor rgb="FF3D0107"/>
      </patternFill>
    </fill>
    <fill>
      <patternFill patternType="solid">
        <fgColor rgb="FFDEEAF6"/>
        <bgColor rgb="FFDEEAF6"/>
      </patternFill>
    </fill>
    <fill>
      <patternFill patternType="solid">
        <fgColor rgb="FFFBE4D5"/>
        <bgColor rgb="FFFBE4D5"/>
      </patternFill>
    </fill>
    <fill>
      <patternFill patternType="solid">
        <fgColor rgb="FFE2EFD9"/>
        <bgColor rgb="FFE2EFD9"/>
      </patternFill>
    </fill>
    <fill>
      <patternFill patternType="solid">
        <fgColor rgb="FFFFE598"/>
        <bgColor rgb="FFFFE598"/>
      </patternFill>
    </fill>
    <fill>
      <patternFill patternType="solid">
        <fgColor rgb="FFD9E2F3"/>
        <bgColor rgb="FFD9E2F3"/>
      </patternFill>
    </fill>
    <fill>
      <patternFill patternType="solid">
        <fgColor rgb="FFB4C6E7"/>
        <bgColor rgb="FFB4C6E7"/>
      </patternFill>
    </fill>
    <fill>
      <patternFill patternType="solid">
        <fgColor rgb="FFADB9CA"/>
        <bgColor rgb="FFADB9CA"/>
      </patternFill>
    </fill>
    <fill>
      <patternFill patternType="solid">
        <fgColor rgb="FFF7CAAC"/>
        <bgColor rgb="FFF7CAAC"/>
      </patternFill>
    </fill>
    <fill>
      <patternFill patternType="solid">
        <fgColor rgb="FF9CC2E5"/>
        <bgColor rgb="FF9CC2E5"/>
      </patternFill>
    </fill>
    <fill>
      <patternFill patternType="solid">
        <fgColor rgb="FFE7E6E6"/>
        <bgColor rgb="FFE7E6E6"/>
      </patternFill>
    </fill>
    <fill>
      <patternFill patternType="solid">
        <fgColor rgb="FF3F3F3F"/>
        <bgColor rgb="FF3F3F3F"/>
      </patternFill>
    </fill>
    <fill>
      <patternFill patternType="solid">
        <fgColor rgb="FF833C0B"/>
        <bgColor rgb="FF833C0B"/>
      </patternFill>
    </fill>
    <fill>
      <patternFill patternType="solid">
        <fgColor rgb="FFF4B083"/>
        <bgColor rgb="FFF4B083"/>
      </patternFill>
    </fill>
    <fill>
      <patternFill patternType="solid">
        <fgColor rgb="FF385623"/>
        <bgColor rgb="FF385623"/>
      </patternFill>
    </fill>
    <fill>
      <patternFill patternType="solid">
        <fgColor rgb="FF92D050"/>
        <bgColor rgb="FF92D050"/>
      </patternFill>
    </fill>
  </fills>
  <borders count="92">
    <border/>
    <border>
      <left/>
      <top/>
    </border>
    <border>
      <top/>
    </border>
    <border>
      <right/>
      <top/>
    </border>
    <border>
      <left/>
      <bottom style="thin">
        <color rgb="FF000000"/>
      </bottom>
    </border>
    <border>
      <bottom style="thin">
        <color rgb="FF000000"/>
      </bottom>
    </border>
    <border>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7F7F7F"/>
      </left>
      <right/>
      <top style="medium">
        <color rgb="FF7F7F7F"/>
      </top>
      <bottom/>
    </border>
    <border>
      <left/>
      <top style="medium">
        <color rgb="FF7F7F7F"/>
      </top>
      <bottom/>
    </border>
    <border>
      <top style="medium">
        <color rgb="FF7F7F7F"/>
      </top>
      <bottom/>
    </border>
    <border>
      <right style="medium">
        <color rgb="FF7F7F7F"/>
      </right>
      <top style="medium">
        <color rgb="FF7F7F7F"/>
      </top>
      <bottom/>
    </border>
    <border>
      <left style="medium">
        <color rgb="FF512373"/>
      </left>
      <right/>
      <top style="medium">
        <color rgb="FF512373"/>
      </top>
      <bottom/>
    </border>
    <border>
      <left/>
      <top style="medium">
        <color rgb="FF512373"/>
      </top>
      <bottom/>
    </border>
    <border>
      <top style="medium">
        <color rgb="FF512373"/>
      </top>
      <bottom/>
    </border>
    <border>
      <right style="medium">
        <color rgb="FF512373"/>
      </right>
      <top style="medium">
        <color rgb="FF512373"/>
      </top>
      <bottom/>
    </border>
    <border>
      <left style="thick">
        <color rgb="FFBF9000"/>
      </left>
      <right/>
      <top style="thick">
        <color rgb="FFBF9000"/>
      </top>
      <bottom/>
    </border>
    <border>
      <left/>
      <top style="thick">
        <color rgb="FFBF9000"/>
      </top>
      <bottom/>
    </border>
    <border>
      <top style="thick">
        <color rgb="FFBF9000"/>
      </top>
      <bottom/>
    </border>
    <border>
      <right style="thick">
        <color rgb="FFBF9000"/>
      </right>
      <top style="thick">
        <color rgb="FFBF9000"/>
      </top>
      <bottom/>
    </border>
    <border>
      <left style="thin">
        <color rgb="FF000000"/>
      </left>
    </border>
    <border>
      <right style="thin">
        <color rgb="FF000000"/>
      </right>
    </border>
    <border>
      <left style="medium">
        <color rgb="FF7F7F7F"/>
      </left>
      <right/>
      <top/>
    </border>
    <border>
      <right style="medium">
        <color rgb="FF7F7F7F"/>
      </right>
      <top/>
    </border>
    <border>
      <left style="medium">
        <color rgb="FF512373"/>
      </left>
      <right/>
      <top/>
    </border>
    <border>
      <right style="medium">
        <color rgb="FF512373"/>
      </right>
      <top/>
    </border>
    <border>
      <left style="thick">
        <color rgb="FFBF9000"/>
      </left>
      <right/>
      <top/>
    </border>
    <border>
      <right style="thick">
        <color rgb="FFBF9000"/>
      </right>
      <top/>
    </border>
    <border>
      <left style="thin">
        <color rgb="FF000000"/>
      </left>
      <bottom style="thin">
        <color rgb="FF000000"/>
      </bottom>
    </border>
    <border>
      <right style="thin">
        <color rgb="FF000000"/>
      </right>
      <bottom style="thin">
        <color rgb="FF000000"/>
      </bottom>
    </border>
    <border>
      <left style="thin">
        <color rgb="FF000000"/>
      </left>
      <right/>
      <top/>
      <bottom style="thin">
        <color rgb="FF000000"/>
      </bottom>
    </border>
    <border>
      <left/>
      <top/>
      <bottom style="thin">
        <color rgb="FF000000"/>
      </bottom>
    </border>
    <border>
      <right style="thin">
        <color rgb="FF000000"/>
      </right>
      <top/>
      <bottom style="thin">
        <color rgb="FF000000"/>
      </bottom>
    </border>
    <border>
      <left style="medium">
        <color rgb="FF7F7F7F"/>
      </left>
      <right/>
      <bottom/>
    </border>
    <border>
      <left/>
      <bottom/>
    </border>
    <border>
      <bottom/>
    </border>
    <border>
      <right style="medium">
        <color rgb="FF7F7F7F"/>
      </right>
      <bottom/>
    </border>
    <border>
      <left style="medium">
        <color rgb="FF512373"/>
      </left>
      <right/>
      <bottom/>
    </border>
    <border>
      <right style="medium">
        <color rgb="FF512373"/>
      </right>
      <bottom/>
    </border>
    <border>
      <left style="thick">
        <color rgb="FFBF9000"/>
      </left>
      <right/>
      <bottom/>
    </border>
    <border>
      <right style="thick">
        <color rgb="FFBF9000"/>
      </right>
      <bottom/>
    </border>
    <border>
      <left style="thin">
        <color rgb="FF000000"/>
      </left>
      <right/>
      <top style="thin">
        <color rgb="FF000000"/>
      </top>
      <bottom/>
    </border>
    <border>
      <left/>
      <top style="thin">
        <color rgb="FF000000"/>
      </top>
      <bottom/>
    </border>
    <border>
      <right style="thin">
        <color rgb="FF000000"/>
      </right>
      <top style="thin">
        <color rgb="FF000000"/>
      </top>
      <bottom/>
    </border>
    <border>
      <left/>
      <top/>
      <bottom/>
    </border>
    <border>
      <top/>
      <bottom/>
    </border>
    <border>
      <right style="medium">
        <color rgb="FF7F7F7F"/>
      </right>
      <top/>
      <bottom/>
    </border>
    <border>
      <right style="medium">
        <color rgb="FF512373"/>
      </right>
      <top/>
      <bottom/>
    </border>
    <border>
      <right style="thick">
        <color rgb="FFBF9000"/>
      </right>
      <top/>
      <bottom/>
    </border>
    <border>
      <left style="thin">
        <color rgb="FF000000"/>
      </left>
      <right/>
      <top/>
      <bottom/>
    </border>
    <border>
      <right style="thin">
        <color rgb="FF000000"/>
      </right>
      <top/>
      <bottom/>
    </border>
    <border>
      <left style="medium">
        <color rgb="FF7F7F7F"/>
      </left>
      <right/>
      <bottom style="medium">
        <color rgb="FF7F7F7F"/>
      </bottom>
    </border>
    <border>
      <left/>
      <top/>
      <bottom style="medium">
        <color rgb="FF7F7F7F"/>
      </bottom>
    </border>
    <border>
      <top/>
      <bottom style="medium">
        <color rgb="FF7F7F7F"/>
      </bottom>
    </border>
    <border>
      <right style="medium">
        <color rgb="FF7F7F7F"/>
      </right>
      <top/>
      <bottom style="medium">
        <color rgb="FF7F7F7F"/>
      </bottom>
    </border>
    <border>
      <left style="medium">
        <color rgb="FF512373"/>
      </left>
      <right/>
      <bottom style="medium">
        <color rgb="FF512373"/>
      </bottom>
    </border>
    <border>
      <left/>
      <top/>
      <bottom style="medium">
        <color rgb="FF512373"/>
      </bottom>
    </border>
    <border>
      <top/>
      <bottom style="medium">
        <color rgb="FF512373"/>
      </bottom>
    </border>
    <border>
      <right style="medium">
        <color rgb="FF512373"/>
      </right>
      <top/>
      <bottom style="medium">
        <color rgb="FF512373"/>
      </bottom>
    </border>
    <border>
      <left style="thick">
        <color rgb="FFBF9000"/>
      </left>
      <right/>
      <bottom style="thick">
        <color rgb="FFBF9000"/>
      </bottom>
    </border>
    <border>
      <left/>
      <top/>
      <bottom style="thick">
        <color rgb="FFBF9000"/>
      </bottom>
    </border>
    <border>
      <top/>
      <bottom style="thick">
        <color rgb="FFBF9000"/>
      </bottom>
    </border>
    <border>
      <right style="thick">
        <color rgb="FFBF9000"/>
      </right>
      <top/>
      <bottom style="thick">
        <color rgb="FFBF9000"/>
      </bottom>
    </border>
    <border>
      <left style="medium">
        <color rgb="FF7F7F7F"/>
      </left>
      <top style="medium">
        <color rgb="FF7F7F7F"/>
      </top>
    </border>
    <border>
      <left style="medium">
        <color rgb="FF7F7F7F"/>
      </left>
      <right/>
      <top/>
      <bottom/>
    </border>
    <border>
      <left style="medium">
        <color rgb="FF512373"/>
      </left>
    </border>
    <border>
      <left style="thin">
        <color rgb="FF000000"/>
      </left>
      <top style="thin">
        <color rgb="FF000000"/>
      </top>
      <bottom/>
    </border>
    <border>
      <left/>
      <right/>
      <top/>
      <bottom/>
    </border>
    <border>
      <left style="thin">
        <color rgb="FF000000"/>
      </left>
      <top/>
      <bottom style="thin">
        <color rgb="FF000000"/>
      </bottom>
    </border>
    <border>
      <left/>
      <right/>
      <top/>
    </border>
    <border>
      <right/>
      <top style="thin">
        <color rgb="FF000000"/>
      </top>
    </border>
    <border>
      <left/>
      <right style="thin">
        <color rgb="FF000000"/>
      </right>
      <top style="thin">
        <color rgb="FF000000"/>
      </top>
    </border>
    <border>
      <right/>
      <bottom/>
    </border>
    <border>
      <left/>
      <right/>
      <bottom/>
    </border>
    <border>
      <left style="thin">
        <color rgb="FF000000"/>
      </left>
      <bottom/>
    </border>
    <border>
      <left/>
      <right style="thin">
        <color rgb="FF000000"/>
      </right>
      <bottom/>
    </border>
    <border>
      <left/>
      <right style="thin">
        <color rgb="FF000000"/>
      </right>
      <top/>
      <bottom/>
    </border>
    <border>
      <left/>
      <right style="thin">
        <color rgb="FF000000"/>
      </right>
      <top/>
    </border>
    <border>
      <left/>
      <right style="thin">
        <color rgb="FF000000"/>
      </right>
      <bottom style="thin">
        <color rgb="FF000000"/>
      </bottom>
    </border>
    <border>
      <left style="thin">
        <color rgb="FF000000"/>
      </left>
      <top/>
    </border>
    <border>
      <left/>
      <right/>
      <top style="thin">
        <color rgb="FF000000"/>
      </top>
    </border>
    <border>
      <left/>
      <right/>
    </border>
    <border>
      <left/>
      <right/>
      <bottom style="thin">
        <color rgb="FF000000"/>
      </bottom>
    </border>
    <border>
      <left/>
      <top style="thin">
        <color rgb="FF000000"/>
      </top>
    </border>
    <border>
      <left/>
      <right style="thin">
        <color rgb="FF000000"/>
      </right>
    </border>
    <border>
      <left style="thin">
        <color rgb="FF000000"/>
      </left>
      <right style="thin">
        <color rgb="FF000000"/>
      </right>
      <top style="thin">
        <color rgb="FF000000"/>
      </top>
    </border>
    <border>
      <right/>
      <top/>
      <bottom/>
    </border>
    <border>
      <left style="thin">
        <color rgb="FF000000"/>
      </left>
      <right style="thin">
        <color rgb="FF000000"/>
      </right>
    </border>
    <border>
      <left style="thin">
        <color rgb="FF000000"/>
      </left>
      <right style="thin">
        <color rgb="FF000000"/>
      </right>
      <bottom/>
    </border>
    <border>
      <left style="thin">
        <color rgb="FF000000"/>
      </left>
      <right style="thin">
        <color rgb="FF000000"/>
      </right>
      <top/>
      <bottom style="thin">
        <color rgb="FF000000"/>
      </bottom>
    </border>
  </borders>
  <cellStyleXfs count="1">
    <xf borderId="0" fillId="0" fontId="0" numFmtId="0" applyAlignment="1" applyFont="1"/>
  </cellStyleXfs>
  <cellXfs count="31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1" fillId="3" fontId="2" numFmtId="0" xfId="0" applyAlignment="1" applyBorder="1" applyFill="1" applyFont="1">
      <alignment horizontal="center"/>
    </xf>
    <xf borderId="4" fillId="0" fontId="3" numFmtId="0" xfId="0" applyBorder="1" applyFont="1"/>
    <xf borderId="5" fillId="0" fontId="3" numFmtId="0" xfId="0" applyBorder="1" applyFont="1"/>
    <xf borderId="6" fillId="0" fontId="3" numFmtId="0" xfId="0" applyBorder="1" applyFont="1"/>
    <xf borderId="0" fillId="0" fontId="2" numFmtId="0" xfId="0" applyAlignment="1" applyFont="1">
      <alignment horizontal="center"/>
    </xf>
    <xf borderId="0" fillId="0" fontId="4" numFmtId="0" xfId="0" applyAlignment="1" applyFont="1">
      <alignment horizontal="center" shrinkToFit="0" textRotation="90" vertical="center" wrapText="1"/>
    </xf>
    <xf borderId="0" fillId="0" fontId="5" numFmtId="0" xfId="0" applyFont="1"/>
    <xf borderId="7" fillId="0" fontId="6" numFmtId="0" xfId="0" applyBorder="1" applyFont="1"/>
    <xf borderId="8" fillId="0" fontId="6" numFmtId="0" xfId="0" applyAlignment="1" applyBorder="1" applyFont="1">
      <alignment horizontal="center"/>
    </xf>
    <xf borderId="9" fillId="0" fontId="3" numFmtId="0" xfId="0" applyBorder="1" applyFont="1"/>
    <xf borderId="10" fillId="4" fontId="7" numFmtId="0" xfId="0" applyAlignment="1" applyBorder="1" applyFill="1" applyFont="1">
      <alignment horizontal="center" vertical="center"/>
    </xf>
    <xf borderId="11" fillId="5" fontId="8" numFmtId="0" xfId="0" applyAlignment="1" applyBorder="1" applyFill="1" applyFont="1">
      <alignment horizontal="center" vertical="center"/>
    </xf>
    <xf borderId="12" fillId="0" fontId="3" numFmtId="0" xfId="0" applyBorder="1" applyFont="1"/>
    <xf borderId="13" fillId="0" fontId="3" numFmtId="0" xfId="0" applyBorder="1" applyFont="1"/>
    <xf borderId="10" fillId="5" fontId="9" numFmtId="0" xfId="0" applyAlignment="1" applyBorder="1" applyFont="1">
      <alignment horizontal="center" vertical="center"/>
    </xf>
    <xf borderId="14" fillId="4" fontId="7" numFmtId="0" xfId="0" applyAlignment="1" applyBorder="1" applyFont="1">
      <alignment horizontal="center" vertical="center"/>
    </xf>
    <xf borderId="15" fillId="6" fontId="8" numFmtId="0" xfId="0" applyAlignment="1" applyBorder="1" applyFill="1" applyFont="1">
      <alignment horizontal="center" vertical="center"/>
    </xf>
    <xf borderId="16" fillId="0" fontId="3" numFmtId="0" xfId="0" applyBorder="1" applyFont="1"/>
    <xf borderId="17" fillId="0" fontId="3" numFmtId="0" xfId="0" applyBorder="1" applyFont="1"/>
    <xf borderId="18" fillId="7" fontId="10" numFmtId="0" xfId="0" applyAlignment="1" applyBorder="1" applyFill="1" applyFont="1">
      <alignment horizontal="center" vertical="center"/>
    </xf>
    <xf borderId="19" fillId="7" fontId="11" numFmtId="0" xfId="0" applyAlignment="1" applyBorder="1" applyFont="1">
      <alignment horizontal="center"/>
    </xf>
    <xf borderId="20" fillId="0" fontId="3" numFmtId="0" xfId="0" applyBorder="1" applyFont="1"/>
    <xf borderId="21" fillId="0" fontId="3" numFmtId="0" xfId="0" applyBorder="1" applyFont="1"/>
    <xf borderId="22" fillId="0" fontId="12" numFmtId="0" xfId="0" applyBorder="1" applyFont="1"/>
    <xf borderId="0" fillId="0" fontId="12" numFmtId="0" xfId="0" applyFont="1"/>
    <xf borderId="23" fillId="0" fontId="3" numFmtId="0" xfId="0" applyBorder="1" applyFont="1"/>
    <xf borderId="24" fillId="5" fontId="13" numFmtId="0" xfId="0" applyAlignment="1" applyBorder="1" applyFont="1">
      <alignment horizontal="center" vertical="center"/>
    </xf>
    <xf borderId="1" fillId="8" fontId="14" numFmtId="0" xfId="0" applyAlignment="1" applyBorder="1" applyFill="1" applyFont="1">
      <alignment horizontal="center" shrinkToFit="0" vertical="top" wrapText="1"/>
    </xf>
    <xf borderId="25" fillId="0" fontId="3" numFmtId="0" xfId="0" applyBorder="1" applyFont="1"/>
    <xf borderId="26" fillId="6" fontId="13" numFmtId="0" xfId="0" applyAlignment="1" applyBorder="1" applyFont="1">
      <alignment horizontal="center" vertical="center"/>
    </xf>
    <xf borderId="1" fillId="9" fontId="14" numFmtId="0" xfId="0" applyAlignment="1" applyBorder="1" applyFill="1" applyFont="1">
      <alignment horizontal="center" shrinkToFit="0" vertical="top" wrapText="1"/>
    </xf>
    <xf borderId="27" fillId="0" fontId="3" numFmtId="0" xfId="0" applyBorder="1" applyFont="1"/>
    <xf borderId="28" fillId="7" fontId="13" numFmtId="0" xfId="0" applyAlignment="1" applyBorder="1" applyFont="1">
      <alignment horizontal="center" vertical="center"/>
    </xf>
    <xf borderId="1" fillId="10" fontId="14" numFmtId="0" xfId="0" applyAlignment="1" applyBorder="1" applyFill="1" applyFont="1">
      <alignment horizontal="center" shrinkToFit="0" vertical="top" wrapText="1"/>
    </xf>
    <xf borderId="29" fillId="0" fontId="3" numFmtId="0" xfId="0" applyBorder="1" applyFont="1"/>
    <xf borderId="30" fillId="0" fontId="12" numFmtId="0" xfId="0" applyBorder="1" applyFont="1"/>
    <xf borderId="5" fillId="0" fontId="12" numFmtId="0" xfId="0" applyBorder="1" applyFont="1"/>
    <xf borderId="31" fillId="0" fontId="3" numFmtId="0" xfId="0" applyBorder="1" applyFont="1"/>
    <xf borderId="32" fillId="11" fontId="12" numFmtId="0" xfId="0" applyBorder="1" applyFill="1" applyFont="1"/>
    <xf borderId="33" fillId="11" fontId="12" numFmtId="0" xfId="0" applyBorder="1" applyFont="1"/>
    <xf borderId="34" fillId="0" fontId="3" numFmtId="0" xfId="0" applyBorder="1" applyFont="1"/>
    <xf borderId="35" fillId="0" fontId="3" numFmtId="0" xfId="0" applyBorder="1" applyFont="1"/>
    <xf borderId="36" fillId="0" fontId="3" numFmtId="0" xfId="0" applyBorder="1" applyFont="1"/>
    <xf borderId="37" fillId="0" fontId="3" numFmtId="0" xfId="0" applyBorder="1" applyFont="1"/>
    <xf borderId="38" fillId="0" fontId="3" numFmtId="0" xfId="0" applyBorder="1" applyFont="1"/>
    <xf borderId="39" fillId="0" fontId="3" numFmtId="0" xfId="0" applyBorder="1" applyFont="1"/>
    <xf borderId="40" fillId="0" fontId="3" numFmtId="0" xfId="0" applyBorder="1" applyFont="1"/>
    <xf borderId="41" fillId="0" fontId="3" numFmtId="0" xfId="0" applyBorder="1" applyFont="1"/>
    <xf borderId="42" fillId="0" fontId="3" numFmtId="0" xfId="0" applyBorder="1" applyFont="1"/>
    <xf borderId="43" fillId="9" fontId="6" numFmtId="0" xfId="0" applyBorder="1" applyFont="1"/>
    <xf borderId="44" fillId="9" fontId="6" numFmtId="0" xfId="0" applyAlignment="1" applyBorder="1" applyFont="1">
      <alignment horizontal="center"/>
    </xf>
    <xf borderId="45" fillId="0" fontId="3" numFmtId="0" xfId="0" applyBorder="1" applyFont="1"/>
    <xf borderId="24" fillId="5" fontId="15" numFmtId="0" xfId="0" applyAlignment="1" applyBorder="1" applyFont="1">
      <alignment horizontal="center" shrinkToFit="0" vertical="center" wrapText="1"/>
    </xf>
    <xf borderId="46" fillId="8" fontId="16" numFmtId="0" xfId="0" applyAlignment="1" applyBorder="1" applyFont="1">
      <alignment horizontal="left" shrinkToFit="0" vertical="top" wrapText="1"/>
    </xf>
    <xf borderId="47" fillId="0" fontId="3" numFmtId="0" xfId="0" applyBorder="1" applyFont="1"/>
    <xf borderId="48" fillId="0" fontId="3" numFmtId="0" xfId="0" applyBorder="1" applyFont="1"/>
    <xf borderId="26" fillId="6" fontId="17" numFmtId="0" xfId="0" applyAlignment="1" applyBorder="1" applyFont="1">
      <alignment horizontal="center" shrinkToFit="0" vertical="center" wrapText="1"/>
    </xf>
    <xf borderId="46" fillId="9" fontId="16" numFmtId="0" xfId="0" applyAlignment="1" applyBorder="1" applyFont="1">
      <alignment horizontal="left" shrinkToFit="0" vertical="top" wrapText="1"/>
    </xf>
    <xf borderId="49" fillId="0" fontId="3" numFmtId="0" xfId="0" applyBorder="1" applyFont="1"/>
    <xf borderId="28" fillId="7" fontId="18" numFmtId="0" xfId="0" applyAlignment="1" applyBorder="1" applyFont="1">
      <alignment horizontal="center" shrinkToFit="0" vertical="center" wrapText="1"/>
    </xf>
    <xf borderId="46" fillId="10" fontId="16" numFmtId="0" xfId="0" applyAlignment="1" applyBorder="1" applyFont="1">
      <alignment horizontal="left" shrinkToFit="0" vertical="top" wrapText="1"/>
    </xf>
    <xf borderId="50" fillId="0" fontId="3" numFmtId="0" xfId="0" applyBorder="1" applyFont="1"/>
    <xf borderId="51" fillId="9" fontId="12" numFmtId="0" xfId="0" applyBorder="1" applyFont="1"/>
    <xf borderId="46" fillId="9" fontId="12" numFmtId="0" xfId="0" applyBorder="1" applyFont="1"/>
    <xf borderId="52" fillId="0" fontId="3" numFmtId="0" xfId="0" applyBorder="1" applyFont="1"/>
    <xf borderId="53" fillId="0" fontId="3" numFmtId="0" xfId="0" applyBorder="1" applyFont="1"/>
    <xf borderId="54" fillId="8" fontId="19" numFmtId="0" xfId="0" applyAlignment="1" applyBorder="1" applyFont="1">
      <alignment horizontal="left" vertical="top"/>
    </xf>
    <xf borderId="55" fillId="0" fontId="3" numFmtId="0" xfId="0" applyBorder="1" applyFont="1"/>
    <xf borderId="56" fillId="0" fontId="3" numFmtId="0" xfId="0" applyBorder="1" applyFont="1"/>
    <xf borderId="57" fillId="0" fontId="3" numFmtId="0" xfId="0" applyBorder="1" applyFont="1"/>
    <xf borderId="58" fillId="9" fontId="20" numFmtId="0" xfId="0" applyAlignment="1" applyBorder="1" applyFont="1">
      <alignment horizontal="left" vertical="top"/>
    </xf>
    <xf borderId="59" fillId="0" fontId="3" numFmtId="0" xfId="0" applyBorder="1" applyFont="1"/>
    <xf borderId="60" fillId="0" fontId="3" numFmtId="0" xfId="0" applyBorder="1" applyFont="1"/>
    <xf borderId="0" fillId="0" fontId="21" numFmtId="0" xfId="0" applyFont="1"/>
    <xf borderId="61" fillId="0" fontId="3" numFmtId="0" xfId="0" applyBorder="1" applyFont="1"/>
    <xf borderId="62" fillId="10" fontId="19" numFmtId="0" xfId="0" applyAlignment="1" applyBorder="1" applyFont="1">
      <alignment horizontal="left" vertical="top"/>
    </xf>
    <xf borderId="63" fillId="0" fontId="3" numFmtId="0" xfId="0" applyBorder="1" applyFont="1"/>
    <xf borderId="64" fillId="0" fontId="3" numFmtId="0" xfId="0" applyBorder="1" applyFont="1"/>
    <xf borderId="32" fillId="9" fontId="12" numFmtId="0" xfId="0" applyBorder="1" applyFont="1"/>
    <xf borderId="33" fillId="9" fontId="12" numFmtId="0" xfId="0" applyBorder="1" applyFont="1"/>
    <xf borderId="65" fillId="0" fontId="9" numFmtId="0" xfId="0" applyAlignment="1" applyBorder="1" applyFont="1">
      <alignment horizontal="center" vertical="center"/>
    </xf>
    <xf borderId="14" fillId="4" fontId="22" numFmtId="0" xfId="0" applyAlignment="1" applyBorder="1" applyFont="1">
      <alignment horizontal="center" vertical="center"/>
    </xf>
    <xf borderId="10" fillId="5" fontId="7" numFmtId="0" xfId="0" applyAlignment="1" applyBorder="1" applyFont="1">
      <alignment horizontal="center" vertical="center"/>
    </xf>
    <xf borderId="15" fillId="6" fontId="23" numFmtId="0" xfId="0" applyAlignment="1" applyBorder="1" applyFont="1">
      <alignment horizontal="center" vertical="center"/>
    </xf>
    <xf borderId="23" fillId="0" fontId="12" numFmtId="0" xfId="0" applyBorder="1" applyFont="1"/>
    <xf borderId="10" fillId="4" fontId="9" numFmtId="0" xfId="0" applyAlignment="1" applyBorder="1" applyFont="1">
      <alignment horizontal="center" vertical="center"/>
    </xf>
    <xf borderId="10" fillId="12" fontId="24" numFmtId="0" xfId="0" applyAlignment="1" applyBorder="1" applyFill="1" applyFont="1">
      <alignment horizontal="center" vertical="center"/>
    </xf>
    <xf borderId="11" fillId="12" fontId="25" numFmtId="0" xfId="0" applyAlignment="1" applyBorder="1" applyFont="1">
      <alignment horizontal="center" vertical="center"/>
    </xf>
    <xf borderId="14" fillId="13" fontId="26" numFmtId="0" xfId="0" applyAlignment="1" applyBorder="1" applyFill="1" applyFont="1">
      <alignment horizontal="center" vertical="center"/>
    </xf>
    <xf borderId="15" fillId="13" fontId="27" numFmtId="0" xfId="0" applyAlignment="1" applyBorder="1" applyFont="1">
      <alignment horizontal="center" vertical="center"/>
    </xf>
    <xf borderId="24" fillId="12" fontId="13" numFmtId="0" xfId="0" applyAlignment="1" applyBorder="1" applyFont="1">
      <alignment horizontal="center" vertical="center"/>
    </xf>
    <xf borderId="1" fillId="14" fontId="14" numFmtId="0" xfId="0" applyAlignment="1" applyBorder="1" applyFill="1" applyFont="1">
      <alignment horizontal="center" shrinkToFit="0" vertical="top" wrapText="1"/>
    </xf>
    <xf borderId="26" fillId="13" fontId="13" numFmtId="0" xfId="0" applyAlignment="1" applyBorder="1" applyFont="1">
      <alignment horizontal="center" vertical="center"/>
    </xf>
    <xf borderId="1" fillId="15" fontId="14" numFmtId="0" xfId="0" applyAlignment="1" applyBorder="1" applyFill="1" applyFont="1">
      <alignment horizontal="center" shrinkToFit="0" vertical="top" wrapText="1"/>
    </xf>
    <xf borderId="18" fillId="16" fontId="10" numFmtId="0" xfId="0" applyAlignment="1" applyBorder="1" applyFill="1" applyFont="1">
      <alignment horizontal="center" vertical="center"/>
    </xf>
    <xf borderId="19" fillId="16" fontId="11" numFmtId="0" xfId="0" applyAlignment="1" applyBorder="1" applyFont="1">
      <alignment horizontal="center"/>
    </xf>
    <xf borderId="24" fillId="12" fontId="15" numFmtId="0" xfId="0" applyAlignment="1" applyBorder="1" applyFont="1">
      <alignment horizontal="center" shrinkToFit="0" vertical="center" wrapText="1"/>
    </xf>
    <xf borderId="46" fillId="14" fontId="16" numFmtId="0" xfId="0" applyAlignment="1" applyBorder="1" applyFont="1">
      <alignment horizontal="left" shrinkToFit="0" vertical="top" wrapText="1"/>
    </xf>
    <xf borderId="26" fillId="13" fontId="17" numFmtId="0" xfId="0" applyAlignment="1" applyBorder="1" applyFont="1">
      <alignment horizontal="center" shrinkToFit="0" vertical="center" wrapText="1"/>
    </xf>
    <xf borderId="46" fillId="15" fontId="16" numFmtId="0" xfId="0" applyAlignment="1" applyBorder="1" applyFont="1">
      <alignment horizontal="left" shrinkToFit="0" vertical="top" wrapText="1"/>
    </xf>
    <xf borderId="28" fillId="16" fontId="13" numFmtId="0" xfId="0" applyAlignment="1" applyBorder="1" applyFont="1">
      <alignment horizontal="center" vertical="center"/>
    </xf>
    <xf borderId="1" fillId="17" fontId="14" numFmtId="0" xfId="0" applyAlignment="1" applyBorder="1" applyFill="1" applyFont="1">
      <alignment horizontal="center" shrinkToFit="0" vertical="top" wrapText="1"/>
    </xf>
    <xf borderId="54" fillId="14" fontId="19" numFmtId="0" xfId="0" applyAlignment="1" applyBorder="1" applyFont="1">
      <alignment horizontal="left" vertical="top"/>
    </xf>
    <xf borderId="58" fillId="15" fontId="20" numFmtId="0" xfId="0" applyAlignment="1" applyBorder="1" applyFont="1">
      <alignment horizontal="left" vertical="top"/>
    </xf>
    <xf borderId="28" fillId="16" fontId="18" numFmtId="0" xfId="0" applyAlignment="1" applyBorder="1" applyFont="1">
      <alignment horizontal="center" shrinkToFit="0" vertical="center" wrapText="1"/>
    </xf>
    <xf borderId="46" fillId="17" fontId="16" numFmtId="0" xfId="0" applyAlignment="1" applyBorder="1" applyFont="1">
      <alignment horizontal="left" shrinkToFit="0" vertical="top" wrapText="1"/>
    </xf>
    <xf borderId="62" fillId="17" fontId="19" numFmtId="0" xfId="0" applyAlignment="1" applyBorder="1" applyFont="1">
      <alignment horizontal="left" vertical="top"/>
    </xf>
    <xf borderId="66" fillId="12" fontId="28" numFmtId="0" xfId="0" applyBorder="1" applyFont="1"/>
    <xf borderId="10" fillId="18" fontId="29" numFmtId="0" xfId="0" applyAlignment="1" applyBorder="1" applyFill="1" applyFont="1">
      <alignment horizontal="center" vertical="center"/>
    </xf>
    <xf borderId="11" fillId="18" fontId="30" numFmtId="0" xfId="0" applyAlignment="1" applyBorder="1" applyFont="1">
      <alignment horizontal="center" vertical="center"/>
    </xf>
    <xf borderId="14" fillId="19" fontId="31" numFmtId="0" xfId="0" applyAlignment="1" applyBorder="1" applyFill="1" applyFont="1">
      <alignment horizontal="center" vertical="center"/>
    </xf>
    <xf borderId="15" fillId="19" fontId="27" numFmtId="0" xfId="0" applyAlignment="1" applyBorder="1" applyFont="1">
      <alignment horizontal="center" vertical="center"/>
    </xf>
    <xf borderId="24" fillId="18" fontId="13" numFmtId="0" xfId="0" applyAlignment="1" applyBorder="1" applyFont="1">
      <alignment horizontal="center" vertical="center"/>
    </xf>
    <xf borderId="1" fillId="20" fontId="14" numFmtId="0" xfId="0" applyAlignment="1" applyBorder="1" applyFill="1" applyFont="1">
      <alignment horizontal="center" shrinkToFit="0" vertical="top" wrapText="1"/>
    </xf>
    <xf borderId="26" fillId="19" fontId="13" numFmtId="0" xfId="0" applyAlignment="1" applyBorder="1" applyFont="1">
      <alignment horizontal="center" vertical="center"/>
    </xf>
    <xf borderId="1" fillId="21" fontId="14" numFmtId="0" xfId="0" applyAlignment="1" applyBorder="1" applyFill="1" applyFont="1">
      <alignment horizontal="center" shrinkToFit="0" vertical="top" wrapText="1"/>
    </xf>
    <xf borderId="18" fillId="22" fontId="10" numFmtId="0" xfId="0" applyAlignment="1" applyBorder="1" applyFill="1" applyFont="1">
      <alignment horizontal="center" vertical="center"/>
    </xf>
    <xf borderId="19" fillId="22" fontId="32" numFmtId="0" xfId="0" applyAlignment="1" applyBorder="1" applyFont="1">
      <alignment horizontal="center" vertical="center"/>
    </xf>
    <xf borderId="24" fillId="18" fontId="15" numFmtId="0" xfId="0" applyAlignment="1" applyBorder="1" applyFont="1">
      <alignment horizontal="center" shrinkToFit="0" vertical="center" wrapText="1"/>
    </xf>
    <xf borderId="46" fillId="20" fontId="16" numFmtId="0" xfId="0" applyAlignment="1" applyBorder="1" applyFont="1">
      <alignment horizontal="left" shrinkToFit="0" vertical="top" wrapText="1"/>
    </xf>
    <xf borderId="26" fillId="19" fontId="17" numFmtId="0" xfId="0" applyAlignment="1" applyBorder="1" applyFont="1">
      <alignment horizontal="center" shrinkToFit="0" vertical="center" wrapText="1"/>
    </xf>
    <xf borderId="46" fillId="21" fontId="16" numFmtId="0" xfId="0" applyAlignment="1" applyBorder="1" applyFont="1">
      <alignment horizontal="left" shrinkToFit="0" vertical="top" wrapText="1"/>
    </xf>
    <xf borderId="28" fillId="22" fontId="33" numFmtId="0" xfId="0" applyAlignment="1" applyBorder="1" applyFont="1">
      <alignment horizontal="center" vertical="center"/>
    </xf>
    <xf borderId="1" fillId="23" fontId="14" numFmtId="0" xfId="0" applyAlignment="1" applyBorder="1" applyFill="1" applyFont="1">
      <alignment horizontal="center" shrinkToFit="0" vertical="top" wrapText="1"/>
    </xf>
    <xf borderId="54" fillId="20" fontId="19" numFmtId="0" xfId="0" applyAlignment="1" applyBorder="1" applyFont="1">
      <alignment horizontal="left" vertical="top"/>
    </xf>
    <xf borderId="58" fillId="21" fontId="20" numFmtId="0" xfId="0" applyAlignment="1" applyBorder="1" applyFont="1">
      <alignment horizontal="left" vertical="top"/>
    </xf>
    <xf borderId="28" fillId="22" fontId="34" numFmtId="0" xfId="0" applyAlignment="1" applyBorder="1" applyFont="1">
      <alignment horizontal="center" shrinkToFit="0" vertical="center" wrapText="1"/>
    </xf>
    <xf borderId="46" fillId="23" fontId="16" numFmtId="0" xfId="0" applyAlignment="1" applyBorder="1" applyFont="1">
      <alignment horizontal="left" shrinkToFit="0" vertical="top" wrapText="1"/>
    </xf>
    <xf borderId="62" fillId="23" fontId="19" numFmtId="0" xfId="0" applyAlignment="1" applyBorder="1" applyFont="1">
      <alignment horizontal="left" vertical="top"/>
    </xf>
    <xf borderId="67" fillId="0" fontId="21" numFmtId="0" xfId="0" applyBorder="1" applyFont="1"/>
    <xf borderId="7" fillId="0" fontId="6" numFmtId="0" xfId="0" applyAlignment="1" applyBorder="1" applyFont="1">
      <alignment horizontal="center"/>
    </xf>
    <xf borderId="22" fillId="0" fontId="12" numFmtId="0" xfId="0" applyAlignment="1" applyBorder="1" applyFont="1">
      <alignment horizontal="center"/>
    </xf>
    <xf borderId="10" fillId="24" fontId="35" numFmtId="0" xfId="0" applyAlignment="1" applyBorder="1" applyFill="1" applyFont="1">
      <alignment horizontal="center" vertical="center"/>
    </xf>
    <xf borderId="11" fillId="24" fontId="30" numFmtId="0" xfId="0" applyAlignment="1" applyBorder="1" applyFont="1">
      <alignment horizontal="center" vertical="center"/>
    </xf>
    <xf borderId="14" fillId="25" fontId="36" numFmtId="0" xfId="0" applyAlignment="1" applyBorder="1" applyFill="1" applyFont="1">
      <alignment horizontal="center" vertical="center"/>
    </xf>
    <xf borderId="15" fillId="25" fontId="27" numFmtId="0" xfId="0" applyAlignment="1" applyBorder="1" applyFont="1">
      <alignment horizontal="center" vertical="center"/>
    </xf>
    <xf borderId="24" fillId="24" fontId="13" numFmtId="0" xfId="0" applyAlignment="1" applyBorder="1" applyFont="1">
      <alignment horizontal="center" vertical="center"/>
    </xf>
    <xf borderId="1" fillId="26" fontId="14" numFmtId="0" xfId="0" applyAlignment="1" applyBorder="1" applyFill="1" applyFont="1">
      <alignment horizontal="center" shrinkToFit="0" vertical="top" wrapText="1"/>
    </xf>
    <xf borderId="26" fillId="25" fontId="13" numFmtId="0" xfId="0" applyAlignment="1" applyBorder="1" applyFont="1">
      <alignment horizontal="center" vertical="center"/>
    </xf>
    <xf borderId="1" fillId="27" fontId="14" numFmtId="0" xfId="0" applyAlignment="1" applyBorder="1" applyFill="1" applyFont="1">
      <alignment horizontal="center" shrinkToFit="0" vertical="top" wrapText="1"/>
    </xf>
    <xf borderId="18" fillId="28" fontId="10" numFmtId="0" xfId="0" applyAlignment="1" applyBorder="1" applyFill="1" applyFont="1">
      <alignment horizontal="center" vertical="center"/>
    </xf>
    <xf borderId="19" fillId="28" fontId="32" numFmtId="0" xfId="0" applyAlignment="1" applyBorder="1" applyFont="1">
      <alignment horizontal="center" vertical="center"/>
    </xf>
    <xf borderId="24" fillId="24" fontId="15" numFmtId="0" xfId="0" applyAlignment="1" applyBorder="1" applyFont="1">
      <alignment horizontal="center" shrinkToFit="0" vertical="center" wrapText="1"/>
    </xf>
    <xf borderId="46" fillId="26" fontId="16" numFmtId="0" xfId="0" applyAlignment="1" applyBorder="1" applyFont="1">
      <alignment horizontal="left" shrinkToFit="0" vertical="top" wrapText="1"/>
    </xf>
    <xf borderId="26" fillId="25" fontId="17" numFmtId="0" xfId="0" applyAlignment="1" applyBorder="1" applyFont="1">
      <alignment horizontal="center" shrinkToFit="0" vertical="center" wrapText="1"/>
    </xf>
    <xf borderId="46" fillId="27" fontId="16" numFmtId="0" xfId="0" applyAlignment="1" applyBorder="1" applyFont="1">
      <alignment horizontal="left" shrinkToFit="0" vertical="top" wrapText="1"/>
    </xf>
    <xf borderId="28" fillId="28" fontId="33" numFmtId="0" xfId="0" applyAlignment="1" applyBorder="1" applyFont="1">
      <alignment horizontal="center" vertical="center"/>
    </xf>
    <xf borderId="1" fillId="29" fontId="14" numFmtId="0" xfId="0" applyAlignment="1" applyBorder="1" applyFill="1" applyFont="1">
      <alignment horizontal="center" shrinkToFit="0" vertical="top" wrapText="1"/>
    </xf>
    <xf borderId="54" fillId="26" fontId="19" numFmtId="0" xfId="0" applyAlignment="1" applyBorder="1" applyFont="1">
      <alignment horizontal="left" vertical="top"/>
    </xf>
    <xf borderId="58" fillId="27" fontId="20" numFmtId="0" xfId="0" applyAlignment="1" applyBorder="1" applyFont="1">
      <alignment horizontal="left" vertical="top"/>
    </xf>
    <xf borderId="28" fillId="28" fontId="34" numFmtId="0" xfId="0" applyAlignment="1" applyBorder="1" applyFont="1">
      <alignment horizontal="center" shrinkToFit="0" vertical="center" wrapText="1"/>
    </xf>
    <xf borderId="46" fillId="29" fontId="16" numFmtId="0" xfId="0" applyAlignment="1" applyBorder="1" applyFont="1">
      <alignment horizontal="left" shrinkToFit="0" vertical="top" wrapText="1"/>
    </xf>
    <xf borderId="62" fillId="29" fontId="19" numFmtId="0" xfId="0" applyAlignment="1" applyBorder="1" applyFont="1">
      <alignment horizontal="left" vertical="top"/>
    </xf>
    <xf borderId="14" fillId="6" fontId="7" numFmtId="0" xfId="0" applyAlignment="1" applyBorder="1" applyFont="1">
      <alignment horizontal="center" vertical="center"/>
    </xf>
    <xf borderId="14" fillId="6" fontId="22" numFmtId="0" xfId="0" applyAlignment="1" applyBorder="1" applyFont="1">
      <alignment horizontal="center" vertical="center"/>
    </xf>
    <xf borderId="44" fillId="30" fontId="6" numFmtId="0" xfId="0" applyAlignment="1" applyBorder="1" applyFill="1" applyFont="1">
      <alignment horizontal="center"/>
    </xf>
    <xf borderId="68" fillId="2" fontId="6" numFmtId="0" xfId="0" applyAlignment="1" applyBorder="1" applyFont="1">
      <alignment horizontal="center"/>
    </xf>
    <xf borderId="68" fillId="31" fontId="6" numFmtId="0" xfId="0" applyAlignment="1" applyBorder="1" applyFill="1" applyFont="1">
      <alignment horizontal="center"/>
    </xf>
    <xf borderId="69" fillId="30" fontId="21" numFmtId="0" xfId="0" applyBorder="1" applyFont="1"/>
    <xf borderId="46" fillId="30" fontId="12" numFmtId="0" xfId="0" applyBorder="1" applyFont="1"/>
    <xf borderId="70" fillId="2" fontId="12" numFmtId="0" xfId="0" applyBorder="1" applyFont="1"/>
    <xf borderId="70" fillId="31" fontId="12" numFmtId="0" xfId="0" applyBorder="1" applyFont="1"/>
    <xf borderId="68" fillId="32" fontId="6" numFmtId="0" xfId="0" applyAlignment="1" applyBorder="1" applyFill="1" applyFont="1">
      <alignment horizontal="center"/>
    </xf>
    <xf borderId="70" fillId="32" fontId="12" numFmtId="0" xfId="0" applyBorder="1" applyFont="1"/>
    <xf borderId="69" fillId="4" fontId="21" numFmtId="0" xfId="0" applyBorder="1" applyFont="1"/>
    <xf borderId="0" fillId="0" fontId="37" numFmtId="0" xfId="0" applyAlignment="1" applyFont="1">
      <alignment horizontal="center" shrinkToFit="0" textRotation="90" vertical="center" wrapText="1"/>
    </xf>
    <xf borderId="1" fillId="2" fontId="2" numFmtId="0" xfId="0" applyAlignment="1" applyBorder="1" applyFont="1">
      <alignment horizontal="center" shrinkToFit="0" vertical="center" wrapText="1"/>
    </xf>
    <xf borderId="71" fillId="3" fontId="37" numFmtId="0" xfId="0" applyAlignment="1" applyBorder="1" applyFont="1">
      <alignment horizontal="center" vertical="center"/>
    </xf>
    <xf borderId="71" fillId="2" fontId="37" numFmtId="0" xfId="0" applyAlignment="1" applyBorder="1" applyFont="1">
      <alignment horizontal="center" vertical="center"/>
    </xf>
    <xf borderId="8" fillId="0" fontId="37" numFmtId="0" xfId="0" applyAlignment="1" applyBorder="1" applyFont="1">
      <alignment horizontal="center" shrinkToFit="0" textRotation="90" vertical="center" wrapText="1"/>
    </xf>
    <xf borderId="7" fillId="2" fontId="2" numFmtId="0" xfId="0" applyAlignment="1" applyBorder="1" applyFont="1">
      <alignment horizontal="center" shrinkToFit="0" vertical="center" wrapText="1"/>
    </xf>
    <xf borderId="8" fillId="0" fontId="3" numFmtId="0" xfId="0" applyBorder="1" applyFont="1"/>
    <xf borderId="72" fillId="0" fontId="3" numFmtId="0" xfId="0" applyBorder="1" applyFont="1"/>
    <xf borderId="73" fillId="2" fontId="37" numFmtId="0" xfId="0" applyAlignment="1" applyBorder="1" applyFont="1">
      <alignment horizontal="center" vertical="center"/>
    </xf>
    <xf borderId="74" fillId="0" fontId="3" numFmtId="0" xfId="0" applyBorder="1" applyFont="1"/>
    <xf borderId="75" fillId="0" fontId="3" numFmtId="0" xfId="0" applyBorder="1" applyFont="1"/>
    <xf borderId="76" fillId="0" fontId="3" numFmtId="0" xfId="0" applyBorder="1" applyFont="1"/>
    <xf borderId="77" fillId="0" fontId="3" numFmtId="0" xfId="0" applyBorder="1" applyFont="1"/>
    <xf borderId="69" fillId="33" fontId="21" numFmtId="0" xfId="0" applyBorder="1" applyFill="1" applyFont="1"/>
    <xf borderId="78" fillId="33" fontId="37" numFmtId="0" xfId="0" applyAlignment="1" applyBorder="1" applyFont="1">
      <alignment vertical="center"/>
    </xf>
    <xf borderId="7" fillId="0" fontId="38" numFmtId="0" xfId="0" applyAlignment="1" applyBorder="1" applyFont="1">
      <alignment horizontal="center" shrinkToFit="0" vertical="center" wrapText="1"/>
    </xf>
    <xf borderId="73" fillId="3" fontId="37" numFmtId="0" xfId="0" applyAlignment="1" applyBorder="1" applyFont="1">
      <alignment horizontal="center" vertical="center"/>
    </xf>
    <xf borderId="22" fillId="0" fontId="2" numFmtId="0" xfId="0" applyAlignment="1" applyBorder="1" applyFont="1">
      <alignment horizontal="center" shrinkToFit="0" vertical="center" wrapText="1"/>
    </xf>
    <xf borderId="23" fillId="0" fontId="37" numFmtId="0" xfId="0" applyAlignment="1" applyBorder="1" applyFont="1">
      <alignment horizontal="center" vertical="center"/>
    </xf>
    <xf borderId="0" fillId="0" fontId="1" numFmtId="164" xfId="0" applyFont="1" applyNumberFormat="1"/>
    <xf borderId="22" fillId="0" fontId="3" numFmtId="0" xfId="0" applyBorder="1" applyFont="1"/>
    <xf borderId="0" fillId="0" fontId="21" numFmtId="164" xfId="0" applyFont="1" applyNumberFormat="1"/>
    <xf borderId="7" fillId="0" fontId="2" numFmtId="0" xfId="0" applyAlignment="1" applyBorder="1" applyFont="1">
      <alignment horizontal="center" shrinkToFit="0" vertical="center" wrapText="1"/>
    </xf>
    <xf borderId="9" fillId="0" fontId="37" numFmtId="0" xfId="0" applyAlignment="1" applyBorder="1" applyFont="1">
      <alignment horizontal="center" vertical="center"/>
    </xf>
    <xf borderId="69" fillId="32" fontId="21" numFmtId="0" xfId="0" applyBorder="1" applyFont="1"/>
    <xf borderId="79" fillId="3" fontId="37" numFmtId="0" xfId="0" applyAlignment="1" applyBorder="1" applyFont="1">
      <alignment horizontal="center" vertical="center"/>
    </xf>
    <xf borderId="22" fillId="0" fontId="38" numFmtId="0" xfId="0" applyAlignment="1" applyBorder="1" applyFont="1">
      <alignment horizontal="center" shrinkToFit="0" vertical="center" wrapText="1"/>
    </xf>
    <xf borderId="23" fillId="0" fontId="37" numFmtId="0" xfId="0" applyAlignment="1" applyBorder="1" applyFont="1">
      <alignment vertical="center"/>
    </xf>
    <xf borderId="30" fillId="0" fontId="3" numFmtId="0" xfId="0" applyBorder="1" applyFont="1"/>
    <xf borderId="80" fillId="0" fontId="3" numFmtId="0" xfId="0" applyBorder="1" applyFont="1"/>
    <xf borderId="7" fillId="33" fontId="2" numFmtId="0" xfId="0" applyAlignment="1" applyBorder="1" applyFont="1">
      <alignment horizontal="center" shrinkToFit="0" vertical="center" wrapText="1"/>
    </xf>
    <xf borderId="8" fillId="0" fontId="37" numFmtId="164" xfId="0" applyAlignment="1" applyBorder="1" applyFont="1" applyNumberFormat="1">
      <alignment horizontal="center" shrinkToFit="0" textRotation="90" vertical="center" wrapText="1"/>
    </xf>
    <xf borderId="7" fillId="34" fontId="2" numFmtId="0" xfId="0" applyAlignment="1" applyBorder="1" applyFill="1" applyFont="1">
      <alignment horizontal="center" shrinkToFit="0" vertical="center" wrapText="1"/>
    </xf>
    <xf borderId="73" fillId="35" fontId="37" numFmtId="0" xfId="0" applyAlignment="1" applyBorder="1" applyFill="1" applyFont="1">
      <alignment horizontal="center" vertical="center"/>
    </xf>
    <xf borderId="69" fillId="32" fontId="21" numFmtId="164" xfId="0" applyBorder="1" applyFont="1" applyNumberFormat="1"/>
    <xf borderId="69" fillId="36" fontId="21" numFmtId="0" xfId="0" applyBorder="1" applyFill="1" applyFont="1"/>
    <xf borderId="78" fillId="36" fontId="37" numFmtId="0" xfId="0" applyAlignment="1" applyBorder="1" applyFont="1">
      <alignment vertical="center"/>
    </xf>
    <xf borderId="81" fillId="33" fontId="2" numFmtId="0" xfId="0" applyAlignment="1" applyBorder="1" applyFont="1">
      <alignment horizontal="center" shrinkToFit="0" vertical="center" wrapText="1"/>
    </xf>
    <xf borderId="79" fillId="2" fontId="37" numFmtId="0" xfId="0" applyAlignment="1" applyBorder="1" applyFont="1">
      <alignment horizontal="center" vertical="center"/>
    </xf>
    <xf borderId="71" fillId="33" fontId="37" numFmtId="0" xfId="0" applyAlignment="1" applyBorder="1" applyFont="1">
      <alignment horizontal="center" vertical="center"/>
    </xf>
    <xf borderId="7" fillId="0" fontId="39"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37" numFmtId="0" xfId="0" applyAlignment="1" applyFont="1">
      <alignment horizontal="center" vertical="center"/>
    </xf>
    <xf borderId="69" fillId="33" fontId="21" numFmtId="0" xfId="0" applyAlignment="1" applyBorder="1" applyFont="1">
      <alignment horizontal="center"/>
    </xf>
    <xf borderId="73" fillId="34" fontId="37" numFmtId="0" xfId="0" applyAlignment="1" applyBorder="1" applyFont="1">
      <alignment horizontal="center" vertical="center"/>
    </xf>
    <xf borderId="81" fillId="32" fontId="2" numFmtId="0" xfId="0" applyAlignment="1" applyBorder="1" applyFont="1">
      <alignment horizontal="center" shrinkToFit="0" vertical="center" wrapText="1"/>
    </xf>
    <xf borderId="79" fillId="32" fontId="37" numFmtId="0" xfId="0" applyAlignment="1" applyBorder="1" applyFont="1">
      <alignment horizontal="center" vertical="center"/>
    </xf>
    <xf borderId="81" fillId="34" fontId="2" numFmtId="0" xfId="0" applyAlignment="1" applyBorder="1" applyFont="1">
      <alignment horizontal="center" shrinkToFit="0" vertical="center" wrapText="1"/>
    </xf>
    <xf borderId="79" fillId="34" fontId="37" numFmtId="0" xfId="0" applyAlignment="1" applyBorder="1" applyFont="1">
      <alignment horizontal="center" vertical="center"/>
    </xf>
    <xf borderId="71" fillId="34" fontId="37" numFmtId="0" xfId="0" applyAlignment="1" applyBorder="1" applyFont="1">
      <alignment horizontal="center" vertical="center"/>
    </xf>
    <xf borderId="0" fillId="0" fontId="40" numFmtId="0" xfId="0" applyAlignment="1" applyFont="1">
      <alignment horizontal="center" shrinkToFit="0" vertical="center" wrapText="1"/>
    </xf>
    <xf borderId="81" fillId="32" fontId="40" numFmtId="0" xfId="0" applyAlignment="1" applyBorder="1" applyFont="1">
      <alignment horizontal="center" shrinkToFit="0" vertical="center" wrapText="1"/>
    </xf>
    <xf borderId="7" fillId="32" fontId="2" numFmtId="0" xfId="0" applyAlignment="1" applyBorder="1" applyFont="1">
      <alignment horizontal="center" shrinkToFit="0" vertical="center" wrapText="1"/>
    </xf>
    <xf borderId="73" fillId="32" fontId="37" numFmtId="0" xfId="0" applyAlignment="1" applyBorder="1" applyFont="1">
      <alignment horizontal="center" vertical="center"/>
    </xf>
    <xf borderId="0" fillId="0" fontId="1" numFmtId="0" xfId="0" applyFont="1"/>
    <xf borderId="1" fillId="30" fontId="40" numFmtId="0" xfId="0" applyAlignment="1" applyBorder="1" applyFont="1">
      <alignment horizontal="center" shrinkToFit="0" vertical="center" wrapText="1"/>
    </xf>
    <xf borderId="71" fillId="30" fontId="37" numFmtId="0" xfId="0" applyAlignment="1" applyBorder="1" applyFont="1">
      <alignment horizontal="center" vertical="center"/>
    </xf>
    <xf borderId="71" fillId="30" fontId="41" numFmtId="0" xfId="0" applyAlignment="1" applyBorder="1" applyFont="1">
      <alignment horizontal="center" shrinkToFit="0" textRotation="90" vertical="center" wrapText="1"/>
    </xf>
    <xf borderId="7" fillId="32" fontId="39" numFmtId="0" xfId="0" applyAlignment="1" applyBorder="1" applyFont="1">
      <alignment horizontal="center" shrinkToFit="0" vertical="center" wrapText="1"/>
    </xf>
    <xf borderId="82" fillId="2" fontId="37" numFmtId="0" xfId="0" applyAlignment="1" applyBorder="1" applyFont="1">
      <alignment horizontal="center" shrinkToFit="0" textRotation="90" vertical="center" wrapText="1"/>
    </xf>
    <xf borderId="7" fillId="30" fontId="40" numFmtId="0" xfId="0" applyAlignment="1" applyBorder="1" applyFont="1">
      <alignment horizontal="center" shrinkToFit="0" vertical="center" wrapText="1"/>
    </xf>
    <xf borderId="73" fillId="30" fontId="37" numFmtId="0" xfId="0" applyAlignment="1" applyBorder="1" applyFont="1">
      <alignment horizontal="center" vertical="center"/>
    </xf>
    <xf borderId="82" fillId="30" fontId="41" numFmtId="0" xfId="0" applyAlignment="1" applyBorder="1" applyFont="1">
      <alignment horizontal="center" shrinkToFit="0" textRotation="90" vertical="center" wrapText="1"/>
    </xf>
    <xf borderId="1" fillId="36" fontId="2" numFmtId="0" xfId="0" applyAlignment="1" applyBorder="1" applyFont="1">
      <alignment horizontal="center" shrinkToFit="0" vertical="center" wrapText="1"/>
    </xf>
    <xf borderId="71" fillId="36" fontId="37" numFmtId="0" xfId="0" applyAlignment="1" applyBorder="1" applyFont="1">
      <alignment horizontal="center" vertical="center"/>
    </xf>
    <xf borderId="83" fillId="0" fontId="3" numFmtId="0" xfId="0" applyBorder="1" applyFont="1"/>
    <xf borderId="22" fillId="0" fontId="40" numFmtId="0" xfId="0" applyAlignment="1" applyBorder="1" applyFont="1">
      <alignment horizontal="center" shrinkToFit="0" vertical="center" wrapText="1"/>
    </xf>
    <xf borderId="81" fillId="2" fontId="40" numFmtId="0" xfId="0" applyAlignment="1" applyBorder="1" applyFont="1">
      <alignment horizontal="center" shrinkToFit="0" vertical="center" wrapText="1"/>
    </xf>
    <xf borderId="84" fillId="0" fontId="3" numFmtId="0" xfId="0" applyBorder="1" applyFont="1"/>
    <xf borderId="82" fillId="32" fontId="37" numFmtId="0" xfId="0" applyAlignment="1" applyBorder="1" applyFont="1">
      <alignment horizontal="center" shrinkToFit="0" textRotation="90" vertical="center" wrapText="1"/>
    </xf>
    <xf borderId="7" fillId="36" fontId="39" numFmtId="0" xfId="0" applyAlignment="1" applyBorder="1" applyFont="1">
      <alignment horizontal="center" shrinkToFit="0" vertical="center" wrapText="1"/>
    </xf>
    <xf borderId="73" fillId="36" fontId="37" numFmtId="0" xfId="0" applyAlignment="1" applyBorder="1" applyFont="1">
      <alignment horizontal="center" vertical="center"/>
    </xf>
    <xf borderId="85" fillId="30" fontId="39" numFmtId="0" xfId="0" applyAlignment="1" applyBorder="1" applyFont="1">
      <alignment horizontal="center" shrinkToFit="0" vertical="center" wrapText="1"/>
    </xf>
    <xf borderId="82" fillId="30" fontId="37" numFmtId="0" xfId="0" applyAlignment="1" applyBorder="1" applyFont="1">
      <alignment horizontal="center" vertical="center"/>
    </xf>
    <xf borderId="1" fillId="2" fontId="40" numFmtId="0" xfId="0" applyAlignment="1" applyBorder="1" applyFont="1">
      <alignment horizontal="center" shrinkToFit="0" vertical="center" wrapText="1"/>
    </xf>
    <xf borderId="1" fillId="36" fontId="40" numFmtId="0" xfId="0" applyAlignment="1" applyBorder="1" applyFont="1">
      <alignment horizontal="center" shrinkToFit="0" vertical="center" wrapText="1"/>
    </xf>
    <xf borderId="81" fillId="2" fontId="39" numFmtId="0" xfId="0" applyAlignment="1" applyBorder="1" applyFont="1">
      <alignment horizontal="center" shrinkToFit="0" vertical="center" wrapText="1"/>
    </xf>
    <xf borderId="82" fillId="32" fontId="41" numFmtId="0" xfId="0" applyAlignment="1" applyBorder="1" applyFont="1">
      <alignment horizontal="center" shrinkToFit="0" textRotation="90" vertical="center" wrapText="1"/>
    </xf>
    <xf borderId="7" fillId="36" fontId="40" numFmtId="0" xfId="0" applyAlignment="1" applyBorder="1" applyFont="1">
      <alignment horizontal="center" shrinkToFit="0" vertical="center" wrapText="1"/>
    </xf>
    <xf borderId="71" fillId="32" fontId="37" numFmtId="164" xfId="0" applyAlignment="1" applyBorder="1" applyFont="1" applyNumberFormat="1">
      <alignment horizontal="center" shrinkToFit="0" textRotation="90" vertical="center" wrapText="1"/>
    </xf>
    <xf borderId="7" fillId="0" fontId="40" numFmtId="0" xfId="0" applyAlignment="1" applyBorder="1" applyFont="1">
      <alignment horizontal="center" shrinkToFit="0" vertical="center" wrapText="1"/>
    </xf>
    <xf borderId="7" fillId="2" fontId="40" numFmtId="0" xfId="0" applyAlignment="1" applyBorder="1" applyFont="1">
      <alignment horizontal="center" shrinkToFit="0" vertical="center" wrapText="1"/>
    </xf>
    <xf borderId="1" fillId="32" fontId="40" numFmtId="0" xfId="0" applyAlignment="1" applyBorder="1" applyFont="1">
      <alignment horizontal="center" shrinkToFit="0" vertical="center" wrapText="1"/>
    </xf>
    <xf borderId="71" fillId="32" fontId="37" numFmtId="0" xfId="0" applyAlignment="1" applyBorder="1" applyFont="1">
      <alignment horizontal="center" vertical="center"/>
    </xf>
    <xf borderId="7" fillId="31" fontId="39" numFmtId="0" xfId="0" applyAlignment="1" applyBorder="1" applyFont="1">
      <alignment horizontal="center" shrinkToFit="0" vertical="center" wrapText="1"/>
    </xf>
    <xf borderId="73" fillId="31" fontId="37" numFmtId="0" xfId="0" applyAlignment="1" applyBorder="1" applyFont="1">
      <alignment horizontal="center" vertical="center"/>
    </xf>
    <xf borderId="1" fillId="2" fontId="39" numFmtId="0" xfId="0" applyAlignment="1" applyBorder="1" applyFont="1">
      <alignment horizontal="center" shrinkToFit="0" vertical="center" wrapText="1"/>
    </xf>
    <xf borderId="71" fillId="37" fontId="37" numFmtId="0" xfId="0" applyAlignment="1" applyBorder="1" applyFill="1" applyFont="1">
      <alignment horizontal="center" shrinkToFit="0" textRotation="90" vertical="center" wrapText="1"/>
    </xf>
    <xf borderId="7" fillId="37" fontId="40" numFmtId="0" xfId="0" applyAlignment="1" applyBorder="1" applyFont="1">
      <alignment horizontal="center" shrinkToFit="0" vertical="center" wrapText="1"/>
    </xf>
    <xf borderId="73" fillId="37" fontId="37" numFmtId="0" xfId="0" applyAlignment="1" applyBorder="1" applyFont="1">
      <alignment horizontal="center" vertical="center"/>
    </xf>
    <xf borderId="81" fillId="37" fontId="40" numFmtId="0" xfId="0" applyAlignment="1" applyBorder="1" applyFont="1">
      <alignment horizontal="center" shrinkToFit="0" vertical="center" wrapText="1"/>
    </xf>
    <xf borderId="79" fillId="37" fontId="37" numFmtId="0" xfId="0" applyAlignment="1" applyBorder="1" applyFont="1">
      <alignment horizontal="center" vertical="center"/>
    </xf>
    <xf borderId="1" fillId="37" fontId="40" numFmtId="0" xfId="0" applyAlignment="1" applyBorder="1" applyFont="1">
      <alignment horizontal="center" shrinkToFit="0" vertical="center" wrapText="1"/>
    </xf>
    <xf borderId="71" fillId="37" fontId="37" numFmtId="0" xfId="0" applyAlignment="1" applyBorder="1" applyFont="1">
      <alignment horizontal="center" vertical="center"/>
    </xf>
    <xf borderId="71" fillId="2" fontId="41" numFmtId="0" xfId="0" applyAlignment="1" applyBorder="1" applyFont="1">
      <alignment horizontal="center" shrinkToFit="0" textRotation="90" vertical="center" wrapText="1"/>
    </xf>
    <xf borderId="81" fillId="30" fontId="40" numFmtId="0" xfId="0" applyAlignment="1" applyBorder="1" applyFont="1">
      <alignment horizontal="center" shrinkToFit="0" vertical="center" wrapText="1"/>
    </xf>
    <xf borderId="79" fillId="30" fontId="37" numFmtId="0" xfId="0" applyAlignment="1" applyBorder="1" applyFont="1">
      <alignment horizontal="center" vertical="center"/>
    </xf>
    <xf borderId="73" fillId="30" fontId="41" numFmtId="0" xfId="0" applyAlignment="1" applyBorder="1" applyFont="1">
      <alignment horizontal="center" shrinkToFit="0" textRotation="90" vertical="center" wrapText="1"/>
    </xf>
    <xf borderId="86" fillId="0" fontId="3" numFmtId="0" xfId="0" applyBorder="1" applyFont="1"/>
    <xf borderId="81" fillId="36" fontId="40" numFmtId="0" xfId="0" applyAlignment="1" applyBorder="1" applyFont="1">
      <alignment horizontal="center" shrinkToFit="0" vertical="center" wrapText="1"/>
    </xf>
    <xf borderId="79" fillId="36" fontId="37" numFmtId="0" xfId="0" applyAlignment="1" applyBorder="1" applyFont="1">
      <alignment horizontal="center" vertical="center"/>
    </xf>
    <xf borderId="82" fillId="38" fontId="41" numFmtId="0" xfId="0" applyAlignment="1" applyBorder="1" applyFill="1" applyFont="1">
      <alignment horizontal="center" shrinkToFit="0" textRotation="90" vertical="center" wrapText="1"/>
    </xf>
    <xf borderId="7" fillId="38" fontId="40" numFmtId="0" xfId="0" applyAlignment="1" applyBorder="1" applyFont="1">
      <alignment horizontal="center" shrinkToFit="0" vertical="center" wrapText="1"/>
    </xf>
    <xf borderId="73" fillId="38" fontId="37" numFmtId="0" xfId="0" applyAlignment="1" applyBorder="1" applyFont="1">
      <alignment horizontal="center" vertical="center"/>
    </xf>
    <xf borderId="81" fillId="38" fontId="2" numFmtId="0" xfId="0" applyAlignment="1" applyBorder="1" applyFont="1">
      <alignment horizontal="center" shrinkToFit="0" vertical="center" wrapText="1"/>
    </xf>
    <xf borderId="79" fillId="38" fontId="37" numFmtId="0" xfId="0" applyAlignment="1" applyBorder="1" applyFont="1">
      <alignment horizontal="center" vertical="center"/>
    </xf>
    <xf borderId="71" fillId="31" fontId="37" numFmtId="0" xfId="0" applyAlignment="1" applyBorder="1" applyFont="1">
      <alignment horizontal="center" shrinkToFit="0" textRotation="90" vertical="center" wrapText="1"/>
    </xf>
    <xf borderId="82" fillId="2" fontId="41" numFmtId="0" xfId="0" applyAlignment="1" applyBorder="1" applyFont="1">
      <alignment horizontal="center" shrinkToFit="0" textRotation="90" vertical="center" wrapText="1"/>
    </xf>
    <xf borderId="7" fillId="31" fontId="40" numFmtId="0" xfId="0" applyAlignment="1" applyBorder="1" applyFont="1">
      <alignment horizontal="center" shrinkToFit="0" vertical="center" wrapText="1"/>
    </xf>
    <xf borderId="0" fillId="0" fontId="37" numFmtId="0" xfId="0" applyAlignment="1" applyFont="1">
      <alignment horizontal="center"/>
    </xf>
    <xf borderId="0" fillId="0" fontId="2" numFmtId="0" xfId="0" applyFont="1"/>
    <xf borderId="5" fillId="0" fontId="37" numFmtId="0" xfId="0" applyBorder="1" applyFont="1"/>
    <xf borderId="5" fillId="0" fontId="21" numFmtId="0" xfId="0" applyBorder="1" applyFont="1"/>
    <xf borderId="5" fillId="0" fontId="37" numFmtId="0" xfId="0" applyAlignment="1" applyBorder="1" applyFont="1">
      <alignment vertical="center"/>
    </xf>
    <xf borderId="5" fillId="0" fontId="37" numFmtId="0" xfId="0" applyAlignment="1" applyBorder="1" applyFont="1">
      <alignment horizontal="center" vertical="center"/>
    </xf>
    <xf borderId="0" fillId="0" fontId="1" numFmtId="0" xfId="0" applyAlignment="1" applyFont="1">
      <alignment readingOrder="0"/>
    </xf>
    <xf borderId="0" fillId="0" fontId="42" numFmtId="0" xfId="0" applyFont="1"/>
    <xf borderId="71" fillId="39" fontId="13" numFmtId="0" xfId="0" applyAlignment="1" applyBorder="1" applyFill="1" applyFont="1">
      <alignment horizontal="center" vertical="center"/>
    </xf>
    <xf borderId="1" fillId="39" fontId="2" numFmtId="0" xfId="0" applyAlignment="1" applyBorder="1" applyFont="1">
      <alignment horizontal="center" vertical="center"/>
    </xf>
    <xf borderId="1" fillId="39" fontId="21" numFmtId="0" xfId="0" applyAlignment="1" applyBorder="1" applyFont="1">
      <alignment horizontal="center" shrinkToFit="0" vertical="top" wrapText="1"/>
    </xf>
    <xf borderId="0" fillId="0" fontId="13" numFmtId="0" xfId="0" applyAlignment="1" applyFont="1">
      <alignment horizontal="center" vertical="center"/>
    </xf>
    <xf borderId="0" fillId="0" fontId="2" numFmtId="0" xfId="0" applyAlignment="1" applyFont="1">
      <alignment horizontal="center" vertical="center"/>
    </xf>
    <xf borderId="0" fillId="0" fontId="21" numFmtId="0" xfId="0" applyAlignment="1" applyFont="1">
      <alignment horizontal="center" shrinkToFit="0" vertical="top" wrapText="1"/>
    </xf>
    <xf borderId="1" fillId="39" fontId="2" numFmtId="0" xfId="0" applyAlignment="1" applyBorder="1" applyFont="1">
      <alignment horizontal="center" shrinkToFit="0" vertical="center" wrapText="1"/>
    </xf>
    <xf borderId="69" fillId="39" fontId="21" numFmtId="0" xfId="0" applyBorder="1" applyFont="1"/>
    <xf borderId="0" fillId="0" fontId="21" numFmtId="0" xfId="0" applyAlignment="1" applyFont="1">
      <alignment horizontal="center" shrinkToFit="0" wrapText="1"/>
    </xf>
    <xf borderId="69" fillId="40" fontId="43" numFmtId="0" xfId="0" applyBorder="1" applyFill="1" applyFont="1"/>
    <xf borderId="69" fillId="41" fontId="44" numFmtId="0" xfId="0" applyBorder="1" applyFill="1" applyFont="1"/>
    <xf borderId="69" fillId="41" fontId="45" numFmtId="0" xfId="0" applyBorder="1" applyFont="1"/>
    <xf borderId="1" fillId="39" fontId="2" numFmtId="0" xfId="0" applyAlignment="1" applyBorder="1" applyFont="1">
      <alignment horizontal="center" shrinkToFit="0" vertical="top" wrapText="1"/>
    </xf>
    <xf borderId="87" fillId="31" fontId="13" numFmtId="0" xfId="0" applyAlignment="1" applyBorder="1" applyFont="1">
      <alignment horizontal="center" vertical="center"/>
    </xf>
    <xf borderId="46" fillId="42" fontId="40" numFmtId="0" xfId="0" applyAlignment="1" applyBorder="1" applyFill="1" applyFont="1">
      <alignment horizontal="center"/>
    </xf>
    <xf borderId="88" fillId="0" fontId="3" numFmtId="0" xfId="0" applyBorder="1" applyFont="1"/>
    <xf borderId="69" fillId="42" fontId="40" numFmtId="0" xfId="0" applyBorder="1" applyFont="1"/>
    <xf borderId="89" fillId="0" fontId="3" numFmtId="0" xfId="0" applyBorder="1" applyFont="1"/>
    <xf borderId="90" fillId="0" fontId="3" numFmtId="0" xfId="0" applyBorder="1" applyFont="1"/>
    <xf borderId="91" fillId="31" fontId="46" numFmtId="0" xfId="0" applyAlignment="1" applyBorder="1" applyFont="1">
      <alignment horizontal="center"/>
    </xf>
    <xf borderId="87" fillId="39" fontId="13" numFmtId="0" xfId="0" applyAlignment="1" applyBorder="1" applyFont="1">
      <alignment horizontal="center" vertical="center"/>
    </xf>
    <xf borderId="91" fillId="39" fontId="47" numFmtId="0" xfId="0" applyAlignment="1" applyBorder="1" applyFont="1">
      <alignment horizontal="center"/>
    </xf>
    <xf borderId="69" fillId="40" fontId="48" numFmtId="0" xfId="0" applyBorder="1" applyFont="1"/>
    <xf borderId="69" fillId="43" fontId="44" numFmtId="0" xfId="0" applyBorder="1" applyFill="1" applyFont="1"/>
    <xf borderId="69" fillId="43" fontId="45" numFmtId="0" xfId="0" applyBorder="1" applyFont="1"/>
    <xf borderId="87" fillId="32" fontId="13" numFmtId="0" xfId="0" applyAlignment="1" applyBorder="1" applyFont="1">
      <alignment horizontal="center" vertical="center"/>
    </xf>
    <xf borderId="46" fillId="44" fontId="40" numFmtId="0" xfId="0" applyAlignment="1" applyBorder="1" applyFill="1" applyFont="1">
      <alignment horizontal="center"/>
    </xf>
    <xf borderId="69" fillId="44" fontId="40" numFmtId="0" xfId="0" applyBorder="1" applyFont="1"/>
    <xf borderId="91" fillId="32" fontId="46" numFmtId="0" xfId="0" applyAlignment="1" applyBorder="1" applyFont="1">
      <alignment horizontal="center"/>
    </xf>
    <xf borderId="0" fillId="0" fontId="21" numFmtId="0" xfId="0" applyAlignment="1" applyFont="1">
      <alignment horizontal="center"/>
    </xf>
  </cellXfs>
  <cellStyles count="1">
    <cellStyle xfId="0" name="Normal" builtinId="0"/>
  </cellStyles>
  <dxfs count="9">
    <dxf>
      <font>
        <color rgb="FF008080"/>
      </font>
      <fill>
        <patternFill patternType="none"/>
      </fill>
      <border/>
    </dxf>
    <dxf>
      <font>
        <b/>
        <color rgb="FF7F6000"/>
      </font>
      <fill>
        <patternFill patternType="none"/>
      </fill>
      <border/>
    </dxf>
    <dxf>
      <font>
        <b/>
        <color rgb="FF7030A0"/>
      </font>
      <fill>
        <patternFill patternType="none"/>
      </fill>
      <border/>
    </dxf>
    <dxf>
      <font>
        <b/>
        <color rgb="FF385623"/>
      </font>
      <fill>
        <patternFill patternType="none"/>
      </fill>
      <border/>
    </dxf>
    <dxf>
      <font>
        <b/>
        <color rgb="FF0070C0"/>
      </font>
      <fill>
        <patternFill patternType="none"/>
      </fill>
      <border/>
    </dxf>
    <dxf>
      <font>
        <b/>
        <color rgb="FFC00000"/>
      </font>
      <fill>
        <patternFill patternType="none"/>
      </fill>
      <border/>
    </dxf>
    <dxf>
      <font>
        <color rgb="FF00B0AC"/>
      </font>
      <fill>
        <patternFill patternType="none"/>
      </fill>
      <border/>
    </dxf>
    <dxf>
      <font>
        <b/>
        <color rgb="FF1F3864"/>
      </font>
      <fill>
        <patternFill patternType="none"/>
      </fill>
      <border/>
    </dxf>
    <dxf>
      <font>
        <color rgb="FF00CC99"/>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hidden="1" min="4" max="7" width="8.71"/>
    <col customWidth="1" hidden="1" min="8" max="8" width="11.71"/>
    <col customWidth="1" hidden="1" min="9" max="10" width="8.71"/>
    <col customWidth="1" hidden="1" min="11" max="11" width="11.71"/>
    <col customWidth="1" hidden="1" min="12" max="13" width="8.71"/>
    <col customWidth="1" hidden="1" min="14" max="14" width="11.57"/>
    <col customWidth="1" min="15" max="19" width="8.71"/>
    <col customWidth="1" min="20" max="20" width="4.43"/>
    <col customWidth="1" min="21" max="24" width="8.71"/>
    <col customWidth="1" min="25" max="25" width="4.43"/>
    <col customWidth="1" min="26" max="29" width="8.71"/>
    <col customWidth="1" min="30" max="30" width="4.43"/>
    <col customWidth="1" min="31" max="42" width="8.71"/>
  </cols>
  <sheetData>
    <row r="1" ht="14.25" customHeight="1">
      <c r="D1" s="1" t="s">
        <v>0</v>
      </c>
      <c r="F1" s="2" t="s">
        <v>1</v>
      </c>
      <c r="G1" s="3"/>
      <c r="H1" s="4"/>
      <c r="I1" s="2" t="s">
        <v>1</v>
      </c>
      <c r="J1" s="3"/>
      <c r="K1" s="4"/>
      <c r="L1" s="5" t="s">
        <v>2</v>
      </c>
      <c r="M1" s="3"/>
      <c r="N1" s="4"/>
    </row>
    <row r="2" ht="14.25" customHeight="1">
      <c r="F2" s="6"/>
      <c r="G2" s="7"/>
      <c r="H2" s="8"/>
      <c r="I2" s="6"/>
      <c r="J2" s="7"/>
      <c r="K2" s="8"/>
      <c r="L2" s="6"/>
      <c r="M2" s="7"/>
      <c r="N2" s="8"/>
    </row>
    <row r="3" ht="14.25" customHeight="1">
      <c r="B3" s="9">
        <v>1.0</v>
      </c>
      <c r="C3" s="10" t="s">
        <v>3</v>
      </c>
      <c r="D3" s="11" t="s">
        <v>4</v>
      </c>
      <c r="F3" s="12">
        <v>140.0</v>
      </c>
      <c r="G3" s="13" t="s">
        <v>5</v>
      </c>
      <c r="H3" s="14"/>
      <c r="I3" s="12">
        <v>120.0</v>
      </c>
      <c r="J3" s="13" t="s">
        <v>6</v>
      </c>
      <c r="K3" s="14"/>
      <c r="L3" s="12">
        <v>100.0</v>
      </c>
      <c r="M3" s="13" t="s">
        <v>7</v>
      </c>
      <c r="N3" s="14"/>
      <c r="P3" s="15">
        <v>140.0</v>
      </c>
      <c r="Q3" s="16" t="s">
        <v>8</v>
      </c>
      <c r="R3" s="17"/>
      <c r="S3" s="18"/>
      <c r="U3" s="19">
        <v>130.0</v>
      </c>
      <c r="V3" s="16" t="s">
        <v>9</v>
      </c>
      <c r="W3" s="17"/>
      <c r="X3" s="18"/>
      <c r="Z3" s="20">
        <v>120.0</v>
      </c>
      <c r="AA3" s="21" t="s">
        <v>10</v>
      </c>
      <c r="AB3" s="22"/>
      <c r="AC3" s="23"/>
      <c r="AE3" s="24">
        <v>110.0</v>
      </c>
      <c r="AF3" s="25" t="s">
        <v>11</v>
      </c>
      <c r="AG3" s="26"/>
      <c r="AH3" s="27"/>
    </row>
    <row r="4" ht="14.25" customHeight="1">
      <c r="B4" s="9"/>
      <c r="D4" s="1" t="s">
        <v>12</v>
      </c>
      <c r="F4" s="28">
        <f>F3</f>
        <v>140</v>
      </c>
      <c r="G4" s="29"/>
      <c r="H4" s="30"/>
      <c r="I4" s="28">
        <f>I3</f>
        <v>120</v>
      </c>
      <c r="J4" s="29"/>
      <c r="K4" s="30"/>
      <c r="L4" s="28">
        <v>100.0</v>
      </c>
      <c r="M4" s="29"/>
      <c r="N4" s="30"/>
      <c r="O4" s="1" t="s">
        <v>13</v>
      </c>
      <c r="P4" s="31" t="s">
        <v>14</v>
      </c>
      <c r="Q4" s="32" t="s">
        <v>15</v>
      </c>
      <c r="R4" s="3"/>
      <c r="S4" s="33"/>
      <c r="U4" s="31" t="s">
        <v>14</v>
      </c>
      <c r="V4" s="32" t="s">
        <v>16</v>
      </c>
      <c r="W4" s="3"/>
      <c r="X4" s="33"/>
      <c r="Z4" s="34" t="s">
        <v>14</v>
      </c>
      <c r="AA4" s="35" t="s">
        <v>17</v>
      </c>
      <c r="AB4" s="3"/>
      <c r="AC4" s="36"/>
      <c r="AE4" s="37" t="s">
        <v>14</v>
      </c>
      <c r="AF4" s="38" t="s">
        <v>18</v>
      </c>
      <c r="AG4" s="3"/>
      <c r="AH4" s="39"/>
    </row>
    <row r="5" ht="14.25" customHeight="1">
      <c r="B5" s="9"/>
      <c r="F5" s="40">
        <f>F4-25</f>
        <v>115</v>
      </c>
      <c r="G5" s="41"/>
      <c r="H5" s="42"/>
      <c r="I5" s="40">
        <f>I4-20</f>
        <v>100</v>
      </c>
      <c r="J5" s="41"/>
      <c r="K5" s="42"/>
      <c r="L5" s="43"/>
      <c r="M5" s="44"/>
      <c r="N5" s="45"/>
      <c r="P5" s="46"/>
      <c r="Q5" s="47"/>
      <c r="R5" s="48"/>
      <c r="S5" s="49"/>
      <c r="U5" s="46"/>
      <c r="V5" s="47"/>
      <c r="W5" s="48"/>
      <c r="X5" s="49"/>
      <c r="Z5" s="50"/>
      <c r="AA5" s="47"/>
      <c r="AB5" s="48"/>
      <c r="AC5" s="51"/>
      <c r="AE5" s="52"/>
      <c r="AF5" s="47"/>
      <c r="AG5" s="48"/>
      <c r="AH5" s="53"/>
    </row>
    <row r="6" ht="14.25" customHeight="1">
      <c r="B6" s="9"/>
      <c r="D6" s="11" t="s">
        <v>4</v>
      </c>
      <c r="E6" s="1" t="s">
        <v>19</v>
      </c>
      <c r="F6" s="54">
        <v>135.0</v>
      </c>
      <c r="G6" s="55" t="s">
        <v>8</v>
      </c>
      <c r="H6" s="56"/>
      <c r="I6" s="54">
        <v>115.0</v>
      </c>
      <c r="J6" s="55" t="s">
        <v>20</v>
      </c>
      <c r="K6" s="56"/>
      <c r="L6" s="12">
        <v>100.0</v>
      </c>
      <c r="M6" s="13" t="s">
        <v>21</v>
      </c>
      <c r="N6" s="14"/>
      <c r="P6" s="57" t="s">
        <v>22</v>
      </c>
      <c r="Q6" s="58" t="s">
        <v>23</v>
      </c>
      <c r="R6" s="59"/>
      <c r="S6" s="60"/>
      <c r="U6" s="57" t="s">
        <v>24</v>
      </c>
      <c r="V6" s="58" t="s">
        <v>25</v>
      </c>
      <c r="W6" s="59"/>
      <c r="X6" s="60"/>
      <c r="Y6" s="1" t="s">
        <v>0</v>
      </c>
      <c r="Z6" s="61" t="s">
        <v>26</v>
      </c>
      <c r="AA6" s="62" t="s">
        <v>27</v>
      </c>
      <c r="AB6" s="59"/>
      <c r="AC6" s="63"/>
      <c r="AE6" s="64" t="s">
        <v>28</v>
      </c>
      <c r="AF6" s="65" t="s">
        <v>29</v>
      </c>
      <c r="AG6" s="59"/>
      <c r="AH6" s="66"/>
    </row>
    <row r="7" ht="14.25" customHeight="1">
      <c r="B7" s="9"/>
      <c r="D7" s="1" t="s">
        <v>12</v>
      </c>
      <c r="F7" s="67">
        <f>F6</f>
        <v>135</v>
      </c>
      <c r="G7" s="68"/>
      <c r="H7" s="69"/>
      <c r="I7" s="67">
        <v>115.0</v>
      </c>
      <c r="J7" s="68"/>
      <c r="K7" s="69"/>
      <c r="L7" s="28">
        <v>100.0</v>
      </c>
      <c r="M7" s="29"/>
      <c r="N7" s="30"/>
      <c r="P7" s="70"/>
      <c r="Q7" s="71" t="s">
        <v>30</v>
      </c>
      <c r="R7" s="72"/>
      <c r="S7" s="73"/>
      <c r="U7" s="70"/>
      <c r="V7" s="71" t="s">
        <v>31</v>
      </c>
      <c r="W7" s="72"/>
      <c r="X7" s="73"/>
      <c r="Z7" s="74"/>
      <c r="AA7" s="75" t="s">
        <v>32</v>
      </c>
      <c r="AB7" s="76"/>
      <c r="AC7" s="77"/>
      <c r="AD7" s="78"/>
      <c r="AE7" s="79"/>
      <c r="AF7" s="80" t="s">
        <v>33</v>
      </c>
      <c r="AG7" s="81"/>
      <c r="AH7" s="82"/>
      <c r="AJ7" s="1" t="s">
        <v>0</v>
      </c>
    </row>
    <row r="8" ht="14.25" customHeight="1">
      <c r="B8" s="9"/>
      <c r="F8" s="83">
        <f>F7-25</f>
        <v>110</v>
      </c>
      <c r="G8" s="84"/>
      <c r="H8" s="45"/>
      <c r="I8" s="83">
        <v>100.0</v>
      </c>
      <c r="J8" s="84"/>
      <c r="K8" s="45"/>
      <c r="L8" s="43"/>
      <c r="M8" s="44"/>
      <c r="N8" s="45"/>
    </row>
    <row r="9" ht="14.25" customHeight="1">
      <c r="B9" s="9">
        <v>2.0</v>
      </c>
      <c r="D9" s="11" t="s">
        <v>4</v>
      </c>
      <c r="E9" s="1" t="s">
        <v>34</v>
      </c>
      <c r="F9" s="12">
        <v>130.0</v>
      </c>
      <c r="G9" s="13" t="s">
        <v>35</v>
      </c>
      <c r="H9" s="14"/>
      <c r="I9" s="54">
        <v>115.0</v>
      </c>
      <c r="J9" s="55" t="s">
        <v>36</v>
      </c>
      <c r="K9" s="56"/>
      <c r="L9" s="12">
        <v>100.0</v>
      </c>
      <c r="M9" s="13" t="s">
        <v>37</v>
      </c>
      <c r="N9" s="14"/>
      <c r="P9" s="15">
        <v>140.0</v>
      </c>
      <c r="Q9" s="16" t="s">
        <v>38</v>
      </c>
      <c r="R9" s="17"/>
      <c r="S9" s="18"/>
      <c r="U9" s="85">
        <v>130.0</v>
      </c>
      <c r="V9" s="16" t="s">
        <v>39</v>
      </c>
      <c r="W9" s="17"/>
      <c r="X9" s="18"/>
      <c r="Z9" s="86">
        <v>120.0</v>
      </c>
      <c r="AA9" s="21" t="s">
        <v>40</v>
      </c>
      <c r="AB9" s="22"/>
      <c r="AC9" s="23"/>
      <c r="AE9" s="24">
        <v>110.0</v>
      </c>
      <c r="AF9" s="25" t="s">
        <v>41</v>
      </c>
      <c r="AG9" s="26"/>
      <c r="AH9" s="27"/>
      <c r="AK9" s="1" t="s">
        <v>42</v>
      </c>
    </row>
    <row r="10" ht="14.25" customHeight="1">
      <c r="B10" s="9"/>
      <c r="D10" s="1" t="s">
        <v>12</v>
      </c>
      <c r="F10" s="28">
        <f>F9</f>
        <v>130</v>
      </c>
      <c r="G10" s="29"/>
      <c r="H10" s="30"/>
      <c r="I10" s="67">
        <v>115.0</v>
      </c>
      <c r="J10" s="68"/>
      <c r="K10" s="69"/>
      <c r="L10" s="28">
        <v>100.0</v>
      </c>
      <c r="M10" s="29"/>
      <c r="N10" s="30"/>
      <c r="O10" s="1" t="s">
        <v>43</v>
      </c>
      <c r="P10" s="31" t="s">
        <v>14</v>
      </c>
      <c r="Q10" s="32" t="s">
        <v>44</v>
      </c>
      <c r="R10" s="3"/>
      <c r="S10" s="33"/>
      <c r="U10" s="31" t="s">
        <v>14</v>
      </c>
      <c r="V10" s="32" t="s">
        <v>45</v>
      </c>
      <c r="W10" s="3"/>
      <c r="X10" s="33"/>
      <c r="Z10" s="34" t="s">
        <v>14</v>
      </c>
      <c r="AA10" s="35" t="s">
        <v>46</v>
      </c>
      <c r="AB10" s="3"/>
      <c r="AC10" s="36"/>
      <c r="AE10" s="37" t="s">
        <v>14</v>
      </c>
      <c r="AF10" s="38" t="s">
        <v>47</v>
      </c>
      <c r="AG10" s="3"/>
      <c r="AH10" s="39"/>
      <c r="AK10" s="1" t="s">
        <v>48</v>
      </c>
    </row>
    <row r="11" ht="14.25" customHeight="1">
      <c r="B11" s="9"/>
      <c r="F11" s="40">
        <f>F10-25</f>
        <v>105</v>
      </c>
      <c r="G11" s="41"/>
      <c r="H11" s="42"/>
      <c r="I11" s="83">
        <v>100.0</v>
      </c>
      <c r="J11" s="84"/>
      <c r="K11" s="45"/>
      <c r="L11" s="43"/>
      <c r="M11" s="44"/>
      <c r="N11" s="45"/>
      <c r="P11" s="46"/>
      <c r="Q11" s="47"/>
      <c r="R11" s="48"/>
      <c r="S11" s="49"/>
      <c r="U11" s="46"/>
      <c r="V11" s="47"/>
      <c r="W11" s="48"/>
      <c r="X11" s="49"/>
      <c r="Z11" s="50"/>
      <c r="AA11" s="47"/>
      <c r="AB11" s="48"/>
      <c r="AC11" s="51"/>
      <c r="AE11" s="52"/>
      <c r="AF11" s="47"/>
      <c r="AG11" s="48"/>
      <c r="AH11" s="53"/>
      <c r="AK11" s="1" t="s">
        <v>49</v>
      </c>
    </row>
    <row r="12" ht="14.25" customHeight="1">
      <c r="B12" s="9"/>
      <c r="D12" s="11" t="s">
        <v>4</v>
      </c>
      <c r="E12" s="1" t="s">
        <v>50</v>
      </c>
      <c r="F12" s="12">
        <v>140.0</v>
      </c>
      <c r="G12" s="13" t="s">
        <v>51</v>
      </c>
      <c r="H12" s="14"/>
      <c r="I12" s="12">
        <v>120.0</v>
      </c>
      <c r="J12" s="13" t="s">
        <v>52</v>
      </c>
      <c r="K12" s="14"/>
      <c r="L12" s="12">
        <v>100.0</v>
      </c>
      <c r="M12" s="13" t="s">
        <v>53</v>
      </c>
      <c r="N12" s="14"/>
      <c r="P12" s="57" t="s">
        <v>54</v>
      </c>
      <c r="Q12" s="58" t="s">
        <v>55</v>
      </c>
      <c r="R12" s="59"/>
      <c r="S12" s="60"/>
      <c r="U12" s="57" t="s">
        <v>24</v>
      </c>
      <c r="V12" s="58" t="s">
        <v>56</v>
      </c>
      <c r="W12" s="59"/>
      <c r="X12" s="60"/>
      <c r="Z12" s="61" t="s">
        <v>57</v>
      </c>
      <c r="AA12" s="62" t="s">
        <v>58</v>
      </c>
      <c r="AB12" s="59"/>
      <c r="AC12" s="63"/>
      <c r="AE12" s="64" t="s">
        <v>59</v>
      </c>
      <c r="AF12" s="65" t="s">
        <v>60</v>
      </c>
      <c r="AG12" s="59"/>
      <c r="AH12" s="66"/>
      <c r="AI12" s="78"/>
      <c r="AJ12" s="1" t="s">
        <v>0</v>
      </c>
      <c r="AK12" s="1" t="s">
        <v>61</v>
      </c>
    </row>
    <row r="13" ht="14.25" customHeight="1">
      <c r="B13" s="9"/>
      <c r="D13" s="1" t="s">
        <v>12</v>
      </c>
      <c r="F13" s="28">
        <f>F12</f>
        <v>140</v>
      </c>
      <c r="G13" s="29"/>
      <c r="H13" s="30"/>
      <c r="I13" s="28">
        <f>I12</f>
        <v>120</v>
      </c>
      <c r="J13" s="29"/>
      <c r="K13" s="30"/>
      <c r="L13" s="28">
        <v>100.0</v>
      </c>
      <c r="M13" s="29"/>
      <c r="N13" s="30"/>
      <c r="P13" s="70"/>
      <c r="Q13" s="71" t="s">
        <v>62</v>
      </c>
      <c r="R13" s="72"/>
      <c r="S13" s="73"/>
      <c r="U13" s="70"/>
      <c r="V13" s="71" t="s">
        <v>63</v>
      </c>
      <c r="W13" s="72"/>
      <c r="X13" s="73"/>
      <c r="Z13" s="74"/>
      <c r="AA13" s="75" t="s">
        <v>64</v>
      </c>
      <c r="AB13" s="76"/>
      <c r="AC13" s="77"/>
      <c r="AE13" s="79"/>
      <c r="AF13" s="80" t="s">
        <v>65</v>
      </c>
      <c r="AG13" s="81"/>
      <c r="AH13" s="82"/>
      <c r="AK13" s="1" t="s">
        <v>66</v>
      </c>
    </row>
    <row r="14" ht="14.25" customHeight="1">
      <c r="B14" s="9"/>
      <c r="F14" s="40">
        <f>F13-25</f>
        <v>115</v>
      </c>
      <c r="G14" s="41"/>
      <c r="H14" s="42"/>
      <c r="I14" s="40">
        <f>I13-20</f>
        <v>100</v>
      </c>
      <c r="J14" s="41"/>
      <c r="K14" s="42"/>
      <c r="L14" s="43"/>
      <c r="M14" s="44"/>
      <c r="N14" s="45"/>
      <c r="AD14" s="78"/>
      <c r="AK14" s="1" t="s">
        <v>67</v>
      </c>
    </row>
    <row r="15" ht="14.25" customHeight="1">
      <c r="B15" s="9">
        <v>3.0</v>
      </c>
      <c r="D15" s="11" t="s">
        <v>4</v>
      </c>
      <c r="E15" s="1" t="s">
        <v>68</v>
      </c>
      <c r="F15" s="12">
        <v>140.0</v>
      </c>
      <c r="G15" s="13" t="s">
        <v>69</v>
      </c>
      <c r="H15" s="14"/>
      <c r="I15" s="54">
        <v>120.0</v>
      </c>
      <c r="J15" s="55" t="s">
        <v>70</v>
      </c>
      <c r="K15" s="56"/>
      <c r="L15" s="12">
        <v>100.0</v>
      </c>
      <c r="M15" s="13" t="s">
        <v>71</v>
      </c>
      <c r="N15" s="14"/>
      <c r="P15" s="87">
        <v>140.0</v>
      </c>
      <c r="Q15" s="16" t="s">
        <v>72</v>
      </c>
      <c r="R15" s="17"/>
      <c r="S15" s="18"/>
      <c r="U15" s="19">
        <v>130.0</v>
      </c>
      <c r="V15" s="16" t="s">
        <v>73</v>
      </c>
      <c r="W15" s="17"/>
      <c r="X15" s="18"/>
      <c r="Z15" s="86">
        <v>120.0</v>
      </c>
      <c r="AA15" s="88" t="s">
        <v>74</v>
      </c>
      <c r="AB15" s="22"/>
      <c r="AC15" s="23"/>
      <c r="AD15" s="78"/>
      <c r="AE15" s="24">
        <v>110.0</v>
      </c>
      <c r="AF15" s="25" t="s">
        <v>75</v>
      </c>
      <c r="AG15" s="26"/>
      <c r="AH15" s="27"/>
      <c r="AI15" s="78"/>
    </row>
    <row r="16" ht="14.25" customHeight="1">
      <c r="B16" s="9"/>
      <c r="D16" s="1" t="s">
        <v>12</v>
      </c>
      <c r="F16" s="28">
        <f>F15</f>
        <v>140</v>
      </c>
      <c r="G16" s="29"/>
      <c r="H16" s="30"/>
      <c r="I16" s="67">
        <f>I15</f>
        <v>120</v>
      </c>
      <c r="J16" s="68"/>
      <c r="K16" s="69"/>
      <c r="L16" s="28">
        <v>100.0</v>
      </c>
      <c r="M16" s="29"/>
      <c r="N16" s="30"/>
      <c r="O16" s="1" t="s">
        <v>76</v>
      </c>
      <c r="P16" s="31" t="s">
        <v>14</v>
      </c>
      <c r="Q16" s="32" t="s">
        <v>77</v>
      </c>
      <c r="R16" s="3"/>
      <c r="S16" s="33"/>
      <c r="U16" s="31" t="s">
        <v>14</v>
      </c>
      <c r="V16" s="32" t="s">
        <v>78</v>
      </c>
      <c r="W16" s="3"/>
      <c r="X16" s="33"/>
      <c r="Z16" s="34" t="s">
        <v>14</v>
      </c>
      <c r="AA16" s="35" t="s">
        <v>79</v>
      </c>
      <c r="AB16" s="3"/>
      <c r="AC16" s="36"/>
      <c r="AE16" s="37" t="s">
        <v>14</v>
      </c>
      <c r="AF16" s="38" t="s">
        <v>47</v>
      </c>
      <c r="AG16" s="3"/>
      <c r="AH16" s="39"/>
    </row>
    <row r="17" ht="14.25" customHeight="1">
      <c r="B17" s="9"/>
      <c r="F17" s="40">
        <f>F16-25</f>
        <v>115</v>
      </c>
      <c r="G17" s="41"/>
      <c r="H17" s="42"/>
      <c r="I17" s="83">
        <f>I16-20</f>
        <v>100</v>
      </c>
      <c r="J17" s="84"/>
      <c r="K17" s="45"/>
      <c r="L17" s="43"/>
      <c r="M17" s="44"/>
      <c r="N17" s="45"/>
      <c r="P17" s="46"/>
      <c r="Q17" s="47"/>
      <c r="R17" s="48"/>
      <c r="S17" s="49"/>
      <c r="U17" s="46"/>
      <c r="V17" s="47"/>
      <c r="W17" s="48"/>
      <c r="X17" s="49"/>
      <c r="Z17" s="50"/>
      <c r="AA17" s="47"/>
      <c r="AB17" s="48"/>
      <c r="AC17" s="51"/>
      <c r="AE17" s="52"/>
      <c r="AF17" s="47"/>
      <c r="AG17" s="48"/>
      <c r="AH17" s="53"/>
      <c r="AJ17" s="1" t="s">
        <v>80</v>
      </c>
    </row>
    <row r="18" ht="14.25" customHeight="1">
      <c r="B18" s="9"/>
      <c r="D18" s="11" t="s">
        <v>81</v>
      </c>
      <c r="E18" s="1" t="s">
        <v>82</v>
      </c>
      <c r="F18" s="12">
        <v>140.0</v>
      </c>
      <c r="G18" s="13" t="s">
        <v>83</v>
      </c>
      <c r="H18" s="14"/>
      <c r="I18" s="12">
        <v>120.0</v>
      </c>
      <c r="J18" s="13" t="s">
        <v>84</v>
      </c>
      <c r="K18" s="14"/>
      <c r="L18" s="12">
        <v>100.0</v>
      </c>
      <c r="M18" s="13" t="s">
        <v>85</v>
      </c>
      <c r="N18" s="14"/>
      <c r="P18" s="57" t="s">
        <v>86</v>
      </c>
      <c r="Q18" s="58" t="s">
        <v>87</v>
      </c>
      <c r="R18" s="59"/>
      <c r="S18" s="60"/>
      <c r="U18" s="57" t="s">
        <v>24</v>
      </c>
      <c r="V18" s="58" t="s">
        <v>88</v>
      </c>
      <c r="W18" s="59"/>
      <c r="X18" s="60"/>
      <c r="Z18" s="61" t="s">
        <v>89</v>
      </c>
      <c r="AA18" s="62" t="s">
        <v>90</v>
      </c>
      <c r="AB18" s="59"/>
      <c r="AC18" s="63"/>
      <c r="AD18" s="78"/>
      <c r="AE18" s="64" t="s">
        <v>91</v>
      </c>
      <c r="AF18" s="65" t="s">
        <v>92</v>
      </c>
      <c r="AG18" s="59"/>
      <c r="AH18" s="66"/>
      <c r="AI18" s="78" t="s">
        <v>0</v>
      </c>
    </row>
    <row r="19" ht="14.25" customHeight="1">
      <c r="B19" s="9"/>
      <c r="D19" s="1" t="s">
        <v>12</v>
      </c>
      <c r="F19" s="28">
        <f>F18</f>
        <v>140</v>
      </c>
      <c r="G19" s="29"/>
      <c r="H19" s="30"/>
      <c r="I19" s="28">
        <f>I18</f>
        <v>120</v>
      </c>
      <c r="J19" s="29"/>
      <c r="K19" s="30"/>
      <c r="L19" s="28">
        <v>100.0</v>
      </c>
      <c r="M19" s="29"/>
      <c r="N19" s="30"/>
      <c r="P19" s="70"/>
      <c r="Q19" s="71" t="s">
        <v>93</v>
      </c>
      <c r="R19" s="72"/>
      <c r="S19" s="73"/>
      <c r="U19" s="70"/>
      <c r="V19" s="71" t="s">
        <v>94</v>
      </c>
      <c r="W19" s="72"/>
      <c r="X19" s="73"/>
      <c r="Z19" s="74"/>
      <c r="AA19" s="75" t="s">
        <v>95</v>
      </c>
      <c r="AB19" s="76"/>
      <c r="AC19" s="77"/>
      <c r="AE19" s="79"/>
      <c r="AF19" s="80" t="s">
        <v>96</v>
      </c>
      <c r="AG19" s="81"/>
      <c r="AH19" s="82"/>
    </row>
    <row r="20" ht="14.25" customHeight="1">
      <c r="B20" s="9"/>
      <c r="F20" s="28"/>
      <c r="G20" s="29"/>
      <c r="H20" s="89"/>
      <c r="I20" s="28"/>
      <c r="J20" s="29"/>
      <c r="K20" s="89"/>
      <c r="L20" s="28"/>
      <c r="M20" s="29"/>
      <c r="N20" s="89"/>
    </row>
    <row r="21" ht="14.25" customHeight="1">
      <c r="B21" s="9"/>
      <c r="F21" s="28"/>
      <c r="G21" s="29"/>
      <c r="H21" s="89"/>
      <c r="I21" s="28"/>
      <c r="J21" s="29"/>
      <c r="K21" s="89"/>
      <c r="L21" s="28"/>
      <c r="M21" s="29"/>
      <c r="N21" s="89"/>
      <c r="P21" s="87">
        <v>140.0</v>
      </c>
      <c r="Q21" s="16" t="s">
        <v>97</v>
      </c>
      <c r="R21" s="17"/>
      <c r="S21" s="18"/>
      <c r="U21" s="85">
        <v>130.0</v>
      </c>
      <c r="V21" s="16" t="s">
        <v>98</v>
      </c>
      <c r="W21" s="17"/>
      <c r="X21" s="18"/>
      <c r="Z21" s="86">
        <v>120.0</v>
      </c>
      <c r="AA21" s="88" t="s">
        <v>99</v>
      </c>
      <c r="AB21" s="22"/>
      <c r="AC21" s="23"/>
      <c r="AE21" s="24">
        <v>110.0</v>
      </c>
      <c r="AF21" s="25" t="s">
        <v>100</v>
      </c>
      <c r="AG21" s="26"/>
      <c r="AH21" s="27"/>
    </row>
    <row r="22" ht="14.25" customHeight="1">
      <c r="B22" s="9"/>
      <c r="F22" s="28"/>
      <c r="G22" s="29"/>
      <c r="H22" s="89"/>
      <c r="I22" s="28"/>
      <c r="J22" s="29"/>
      <c r="K22" s="89"/>
      <c r="L22" s="28"/>
      <c r="M22" s="29"/>
      <c r="N22" s="89"/>
      <c r="O22" s="1" t="s">
        <v>101</v>
      </c>
      <c r="P22" s="31" t="s">
        <v>14</v>
      </c>
      <c r="Q22" s="32" t="s">
        <v>102</v>
      </c>
      <c r="R22" s="3"/>
      <c r="S22" s="33"/>
      <c r="U22" s="31" t="s">
        <v>14</v>
      </c>
      <c r="V22" s="32" t="s">
        <v>103</v>
      </c>
      <c r="W22" s="3"/>
      <c r="X22" s="33"/>
      <c r="Z22" s="34" t="s">
        <v>14</v>
      </c>
      <c r="AA22" s="35" t="s">
        <v>104</v>
      </c>
      <c r="AB22" s="3"/>
      <c r="AC22" s="36"/>
      <c r="AE22" s="37" t="s">
        <v>14</v>
      </c>
      <c r="AF22" s="38" t="s">
        <v>105</v>
      </c>
      <c r="AG22" s="3"/>
      <c r="AH22" s="39"/>
    </row>
    <row r="23" ht="14.25" customHeight="1">
      <c r="B23" s="9"/>
      <c r="F23" s="28"/>
      <c r="G23" s="29"/>
      <c r="H23" s="89"/>
      <c r="I23" s="28"/>
      <c r="J23" s="29"/>
      <c r="K23" s="89"/>
      <c r="L23" s="28"/>
      <c r="M23" s="29"/>
      <c r="N23" s="89"/>
      <c r="P23" s="46"/>
      <c r="Q23" s="47"/>
      <c r="R23" s="48"/>
      <c r="S23" s="49"/>
      <c r="U23" s="46"/>
      <c r="V23" s="47"/>
      <c r="W23" s="48"/>
      <c r="X23" s="49"/>
      <c r="Z23" s="50"/>
      <c r="AA23" s="47"/>
      <c r="AB23" s="48"/>
      <c r="AC23" s="51"/>
      <c r="AE23" s="52"/>
      <c r="AF23" s="47"/>
      <c r="AG23" s="48"/>
      <c r="AH23" s="53"/>
    </row>
    <row r="24" ht="14.25" customHeight="1">
      <c r="B24" s="9"/>
      <c r="F24" s="28"/>
      <c r="G24" s="29"/>
      <c r="H24" s="89"/>
      <c r="I24" s="28"/>
      <c r="J24" s="29"/>
      <c r="K24" s="89"/>
      <c r="L24" s="28"/>
      <c r="M24" s="29"/>
      <c r="N24" s="89"/>
      <c r="P24" s="57" t="s">
        <v>106</v>
      </c>
      <c r="Q24" s="58" t="s">
        <v>107</v>
      </c>
      <c r="R24" s="59"/>
      <c r="S24" s="60"/>
      <c r="U24" s="57" t="s">
        <v>24</v>
      </c>
      <c r="V24" s="58" t="s">
        <v>108</v>
      </c>
      <c r="W24" s="59"/>
      <c r="X24" s="60"/>
      <c r="Z24" s="61" t="s">
        <v>109</v>
      </c>
      <c r="AA24" s="62" t="s">
        <v>110</v>
      </c>
      <c r="AB24" s="59"/>
      <c r="AC24" s="63"/>
      <c r="AE24" s="64" t="s">
        <v>111</v>
      </c>
      <c r="AF24" s="65" t="s">
        <v>112</v>
      </c>
      <c r="AG24" s="59"/>
      <c r="AH24" s="66"/>
    </row>
    <row r="25" ht="14.25" customHeight="1">
      <c r="B25" s="9"/>
      <c r="F25" s="28"/>
      <c r="G25" s="29"/>
      <c r="H25" s="89"/>
      <c r="I25" s="28"/>
      <c r="J25" s="29"/>
      <c r="K25" s="89"/>
      <c r="L25" s="28"/>
      <c r="M25" s="29"/>
      <c r="N25" s="89"/>
      <c r="P25" s="70"/>
      <c r="Q25" s="71" t="s">
        <v>113</v>
      </c>
      <c r="R25" s="72"/>
      <c r="S25" s="73"/>
      <c r="U25" s="70"/>
      <c r="V25" s="71" t="s">
        <v>114</v>
      </c>
      <c r="W25" s="72"/>
      <c r="X25" s="73"/>
      <c r="Z25" s="74"/>
      <c r="AA25" s="75" t="s">
        <v>115</v>
      </c>
      <c r="AB25" s="76"/>
      <c r="AC25" s="77"/>
      <c r="AE25" s="79"/>
      <c r="AF25" s="80" t="s">
        <v>116</v>
      </c>
      <c r="AG25" s="81"/>
      <c r="AH25" s="82"/>
    </row>
    <row r="26" ht="14.25" customHeight="1">
      <c r="B26" s="9"/>
      <c r="F26" s="28"/>
      <c r="G26" s="29"/>
      <c r="H26" s="89"/>
      <c r="I26" s="28"/>
      <c r="J26" s="29"/>
      <c r="K26" s="89"/>
      <c r="L26" s="28"/>
      <c r="M26" s="29"/>
      <c r="N26" s="89"/>
    </row>
    <row r="27" ht="14.25" customHeight="1">
      <c r="B27" s="9"/>
      <c r="F27" s="28"/>
      <c r="G27" s="29"/>
      <c r="H27" s="89"/>
      <c r="I27" s="28"/>
      <c r="J27" s="29"/>
      <c r="K27" s="89"/>
      <c r="L27" s="28"/>
      <c r="M27" s="29"/>
      <c r="N27" s="89"/>
      <c r="P27" s="15">
        <v>140.0</v>
      </c>
      <c r="Q27" s="16" t="s">
        <v>117</v>
      </c>
      <c r="R27" s="17"/>
      <c r="S27" s="18"/>
      <c r="U27" s="90">
        <v>130.0</v>
      </c>
      <c r="V27" s="16" t="s">
        <v>118</v>
      </c>
      <c r="W27" s="17"/>
      <c r="X27" s="18"/>
      <c r="Z27" s="86">
        <v>120.0</v>
      </c>
      <c r="AA27" s="88" t="s">
        <v>119</v>
      </c>
      <c r="AB27" s="22"/>
      <c r="AC27" s="23"/>
      <c r="AE27" s="24">
        <v>110.0</v>
      </c>
      <c r="AF27" s="25" t="s">
        <v>120</v>
      </c>
      <c r="AG27" s="26"/>
      <c r="AH27" s="27"/>
    </row>
    <row r="28" ht="14.25" customHeight="1">
      <c r="B28" s="9"/>
      <c r="F28" s="28"/>
      <c r="G28" s="29"/>
      <c r="H28" s="89"/>
      <c r="I28" s="28"/>
      <c r="J28" s="29"/>
      <c r="K28" s="89"/>
      <c r="L28" s="28"/>
      <c r="M28" s="29"/>
      <c r="N28" s="89"/>
      <c r="O28" s="1" t="s">
        <v>121</v>
      </c>
      <c r="P28" s="31" t="s">
        <v>14</v>
      </c>
      <c r="Q28" s="32" t="s">
        <v>122</v>
      </c>
      <c r="R28" s="3"/>
      <c r="S28" s="33"/>
      <c r="U28" s="31" t="s">
        <v>14</v>
      </c>
      <c r="V28" s="32" t="s">
        <v>123</v>
      </c>
      <c r="W28" s="3"/>
      <c r="X28" s="33"/>
      <c r="Z28" s="34" t="s">
        <v>14</v>
      </c>
      <c r="AA28" s="35" t="s">
        <v>124</v>
      </c>
      <c r="AB28" s="3"/>
      <c r="AC28" s="36"/>
      <c r="AE28" s="37" t="s">
        <v>14</v>
      </c>
      <c r="AF28" s="38" t="s">
        <v>47</v>
      </c>
      <c r="AG28" s="3"/>
      <c r="AH28" s="39"/>
    </row>
    <row r="29" ht="14.25" customHeight="1">
      <c r="B29" s="9"/>
      <c r="F29" s="28"/>
      <c r="G29" s="29"/>
      <c r="H29" s="89"/>
      <c r="I29" s="28"/>
      <c r="J29" s="29"/>
      <c r="K29" s="89"/>
      <c r="L29" s="28"/>
      <c r="M29" s="29"/>
      <c r="N29" s="89"/>
      <c r="P29" s="46"/>
      <c r="Q29" s="47"/>
      <c r="R29" s="48"/>
      <c r="S29" s="49"/>
      <c r="U29" s="46"/>
      <c r="V29" s="47"/>
      <c r="W29" s="48"/>
      <c r="X29" s="49"/>
      <c r="Z29" s="50"/>
      <c r="AA29" s="47"/>
      <c r="AB29" s="48"/>
      <c r="AC29" s="51"/>
      <c r="AE29" s="52"/>
      <c r="AF29" s="47"/>
      <c r="AG29" s="48"/>
      <c r="AH29" s="53"/>
    </row>
    <row r="30" ht="14.25" customHeight="1">
      <c r="B30" s="9"/>
      <c r="F30" s="28"/>
      <c r="G30" s="29"/>
      <c r="H30" s="89"/>
      <c r="I30" s="28"/>
      <c r="J30" s="29"/>
      <c r="K30" s="89"/>
      <c r="L30" s="28"/>
      <c r="M30" s="29"/>
      <c r="N30" s="89"/>
      <c r="P30" s="57" t="s">
        <v>125</v>
      </c>
      <c r="Q30" s="58" t="s">
        <v>126</v>
      </c>
      <c r="R30" s="59"/>
      <c r="S30" s="60"/>
      <c r="U30" s="57" t="s">
        <v>24</v>
      </c>
      <c r="V30" s="58" t="s">
        <v>127</v>
      </c>
      <c r="W30" s="59"/>
      <c r="X30" s="60"/>
      <c r="Z30" s="61" t="s">
        <v>128</v>
      </c>
      <c r="AA30" s="62" t="s">
        <v>129</v>
      </c>
      <c r="AB30" s="59"/>
      <c r="AC30" s="63"/>
      <c r="AE30" s="64" t="s">
        <v>130</v>
      </c>
      <c r="AF30" s="65" t="s">
        <v>131</v>
      </c>
      <c r="AG30" s="59"/>
      <c r="AH30" s="66"/>
    </row>
    <row r="31" ht="14.25" customHeight="1">
      <c r="B31" s="9"/>
      <c r="F31" s="28"/>
      <c r="G31" s="29"/>
      <c r="H31" s="89"/>
      <c r="I31" s="28"/>
      <c r="J31" s="29"/>
      <c r="K31" s="89"/>
      <c r="L31" s="28"/>
      <c r="M31" s="29"/>
      <c r="N31" s="89"/>
      <c r="P31" s="70"/>
      <c r="Q31" s="71" t="s">
        <v>132</v>
      </c>
      <c r="R31" s="72"/>
      <c r="S31" s="73"/>
      <c r="U31" s="70"/>
      <c r="V31" s="71" t="s">
        <v>133</v>
      </c>
      <c r="W31" s="72"/>
      <c r="X31" s="73"/>
      <c r="Z31" s="74"/>
      <c r="AA31" s="75" t="s">
        <v>134</v>
      </c>
      <c r="AB31" s="76"/>
      <c r="AC31" s="77"/>
      <c r="AE31" s="79"/>
      <c r="AF31" s="80" t="s">
        <v>135</v>
      </c>
      <c r="AG31" s="81"/>
      <c r="AH31" s="82"/>
      <c r="AI31" s="1" t="s">
        <v>0</v>
      </c>
    </row>
    <row r="32" ht="14.25" customHeight="1">
      <c r="B32" s="9"/>
      <c r="F32" s="28"/>
      <c r="G32" s="29"/>
      <c r="H32" s="89"/>
      <c r="I32" s="28"/>
      <c r="J32" s="29"/>
      <c r="K32" s="89"/>
      <c r="L32" s="28"/>
      <c r="M32" s="29"/>
      <c r="N32" s="89"/>
      <c r="AD32" s="1" t="s">
        <v>0</v>
      </c>
    </row>
    <row r="33" ht="14.25" customHeight="1">
      <c r="B33" s="9"/>
      <c r="F33" s="28"/>
      <c r="G33" s="29"/>
      <c r="H33" s="89"/>
      <c r="I33" s="28"/>
      <c r="J33" s="29"/>
      <c r="K33" s="89"/>
      <c r="L33" s="28"/>
      <c r="M33" s="29"/>
      <c r="N33" s="89"/>
      <c r="P33" s="15">
        <v>140.0</v>
      </c>
      <c r="Q33" s="16" t="s">
        <v>36</v>
      </c>
      <c r="R33" s="17"/>
      <c r="S33" s="18"/>
      <c r="U33" s="90">
        <v>130.0</v>
      </c>
      <c r="V33" s="16" t="s">
        <v>136</v>
      </c>
      <c r="W33" s="17"/>
      <c r="X33" s="18"/>
      <c r="Z33" s="86">
        <v>120.0</v>
      </c>
      <c r="AA33" s="88" t="s">
        <v>137</v>
      </c>
      <c r="AB33" s="22"/>
      <c r="AC33" s="23"/>
      <c r="AE33" s="24">
        <v>110.0</v>
      </c>
      <c r="AF33" s="25" t="s">
        <v>138</v>
      </c>
      <c r="AG33" s="26"/>
      <c r="AH33" s="27"/>
    </row>
    <row r="34" ht="14.25" customHeight="1">
      <c r="B34" s="9"/>
      <c r="F34" s="28"/>
      <c r="G34" s="29"/>
      <c r="H34" s="89"/>
      <c r="I34" s="28"/>
      <c r="J34" s="29"/>
      <c r="K34" s="89"/>
      <c r="L34" s="28"/>
      <c r="M34" s="29"/>
      <c r="N34" s="89"/>
      <c r="P34" s="31" t="s">
        <v>14</v>
      </c>
      <c r="Q34" s="32" t="s">
        <v>139</v>
      </c>
      <c r="R34" s="3"/>
      <c r="S34" s="33"/>
      <c r="U34" s="31" t="s">
        <v>14</v>
      </c>
      <c r="V34" s="32" t="s">
        <v>140</v>
      </c>
      <c r="W34" s="3"/>
      <c r="X34" s="33"/>
      <c r="Z34" s="34" t="s">
        <v>14</v>
      </c>
      <c r="AA34" s="35" t="s">
        <v>141</v>
      </c>
      <c r="AB34" s="3"/>
      <c r="AC34" s="36"/>
      <c r="AE34" s="37" t="s">
        <v>14</v>
      </c>
      <c r="AF34" s="38" t="s">
        <v>142</v>
      </c>
      <c r="AG34" s="3"/>
      <c r="AH34" s="39"/>
    </row>
    <row r="35" ht="14.25" customHeight="1">
      <c r="B35" s="9"/>
      <c r="F35" s="28"/>
      <c r="G35" s="29"/>
      <c r="H35" s="89"/>
      <c r="I35" s="28"/>
      <c r="J35" s="29"/>
      <c r="K35" s="89"/>
      <c r="L35" s="28"/>
      <c r="M35" s="29"/>
      <c r="N35" s="89"/>
      <c r="O35" s="1" t="s">
        <v>143</v>
      </c>
      <c r="P35" s="46"/>
      <c r="Q35" s="47"/>
      <c r="R35" s="48"/>
      <c r="S35" s="49"/>
      <c r="U35" s="46"/>
      <c r="V35" s="47"/>
      <c r="W35" s="48"/>
      <c r="X35" s="49"/>
      <c r="Z35" s="50"/>
      <c r="AA35" s="47"/>
      <c r="AB35" s="48"/>
      <c r="AC35" s="51"/>
      <c r="AE35" s="52"/>
      <c r="AF35" s="47"/>
      <c r="AG35" s="48"/>
      <c r="AH35" s="53"/>
    </row>
    <row r="36" ht="14.25" customHeight="1">
      <c r="B36" s="9"/>
      <c r="F36" s="28"/>
      <c r="G36" s="29"/>
      <c r="H36" s="89"/>
      <c r="I36" s="28"/>
      <c r="J36" s="29"/>
      <c r="K36" s="89"/>
      <c r="L36" s="28"/>
      <c r="M36" s="29"/>
      <c r="N36" s="89"/>
      <c r="P36" s="57" t="s">
        <v>144</v>
      </c>
      <c r="Q36" s="58" t="s">
        <v>145</v>
      </c>
      <c r="R36" s="59"/>
      <c r="S36" s="60"/>
      <c r="U36" s="57" t="s">
        <v>24</v>
      </c>
      <c r="V36" s="58" t="s">
        <v>146</v>
      </c>
      <c r="W36" s="59"/>
      <c r="X36" s="60"/>
      <c r="Z36" s="61" t="s">
        <v>147</v>
      </c>
      <c r="AA36" s="62" t="s">
        <v>148</v>
      </c>
      <c r="AB36" s="59"/>
      <c r="AC36" s="63"/>
      <c r="AE36" s="64" t="s">
        <v>149</v>
      </c>
      <c r="AF36" s="65" t="s">
        <v>150</v>
      </c>
      <c r="AG36" s="59"/>
      <c r="AH36" s="66"/>
    </row>
    <row r="37" ht="14.25" customHeight="1">
      <c r="B37" s="9"/>
      <c r="F37" s="28"/>
      <c r="G37" s="29"/>
      <c r="H37" s="89"/>
      <c r="I37" s="28"/>
      <c r="J37" s="29"/>
      <c r="K37" s="89"/>
      <c r="L37" s="28"/>
      <c r="M37" s="29"/>
      <c r="N37" s="89"/>
      <c r="P37" s="70"/>
      <c r="Q37" s="71" t="s">
        <v>151</v>
      </c>
      <c r="R37" s="72"/>
      <c r="S37" s="73"/>
      <c r="U37" s="70"/>
      <c r="V37" s="71" t="s">
        <v>152</v>
      </c>
      <c r="W37" s="72"/>
      <c r="X37" s="73"/>
      <c r="Z37" s="74"/>
      <c r="AA37" s="75" t="s">
        <v>153</v>
      </c>
      <c r="AB37" s="76"/>
      <c r="AC37" s="77"/>
      <c r="AE37" s="79"/>
      <c r="AF37" s="80" t="s">
        <v>154</v>
      </c>
      <c r="AG37" s="81"/>
      <c r="AH37" s="82"/>
    </row>
    <row r="38" ht="14.25" customHeight="1">
      <c r="B38" s="9"/>
      <c r="F38" s="40">
        <f>F19-25</f>
        <v>115</v>
      </c>
      <c r="G38" s="41"/>
      <c r="H38" s="42"/>
      <c r="I38" s="40">
        <f>I19-20</f>
        <v>100</v>
      </c>
      <c r="J38" s="41"/>
      <c r="K38" s="42"/>
      <c r="L38" s="43"/>
      <c r="M38" s="44"/>
      <c r="N38" s="45"/>
    </row>
    <row r="39" ht="14.25" customHeight="1">
      <c r="B39" s="9">
        <v>4.0</v>
      </c>
      <c r="D39" s="11" t="s">
        <v>81</v>
      </c>
      <c r="E39" s="1" t="s">
        <v>155</v>
      </c>
      <c r="F39" s="12">
        <v>135.0</v>
      </c>
      <c r="G39" s="13" t="s">
        <v>156</v>
      </c>
      <c r="H39" s="14"/>
      <c r="I39" s="12"/>
      <c r="J39" s="13"/>
      <c r="K39" s="14"/>
      <c r="L39" s="12">
        <v>100.0</v>
      </c>
      <c r="M39" s="13" t="s">
        <v>157</v>
      </c>
      <c r="N39" s="14"/>
      <c r="P39" s="91">
        <v>140.0</v>
      </c>
      <c r="Q39" s="92" t="s">
        <v>158</v>
      </c>
      <c r="R39" s="17"/>
      <c r="S39" s="18"/>
      <c r="U39" s="91">
        <v>130.0</v>
      </c>
      <c r="V39" s="92" t="s">
        <v>159</v>
      </c>
      <c r="W39" s="17"/>
      <c r="X39" s="18"/>
      <c r="Z39" s="93">
        <v>120.0</v>
      </c>
      <c r="AA39" s="94"/>
      <c r="AB39" s="22"/>
      <c r="AC39" s="23"/>
    </row>
    <row r="40" ht="14.25" customHeight="1">
      <c r="B40" s="9"/>
      <c r="D40" s="1" t="s">
        <v>12</v>
      </c>
      <c r="F40" s="28">
        <f>F39</f>
        <v>135</v>
      </c>
      <c r="G40" s="29"/>
      <c r="H40" s="30"/>
      <c r="I40" s="28"/>
      <c r="J40" s="29"/>
      <c r="K40" s="30"/>
      <c r="L40" s="28">
        <v>100.0</v>
      </c>
      <c r="M40" s="29"/>
      <c r="N40" s="30"/>
      <c r="P40" s="95" t="s">
        <v>160</v>
      </c>
      <c r="Q40" s="96"/>
      <c r="R40" s="3"/>
      <c r="S40" s="33"/>
      <c r="U40" s="95" t="s">
        <v>160</v>
      </c>
      <c r="V40" s="96" t="s">
        <v>161</v>
      </c>
      <c r="W40" s="3"/>
      <c r="X40" s="33"/>
      <c r="Z40" s="97" t="s">
        <v>160</v>
      </c>
      <c r="AA40" s="98"/>
      <c r="AB40" s="3"/>
      <c r="AC40" s="36"/>
    </row>
    <row r="41" ht="14.25" customHeight="1">
      <c r="B41" s="9"/>
      <c r="F41" s="40">
        <f>F40-25</f>
        <v>110</v>
      </c>
      <c r="G41" s="41"/>
      <c r="H41" s="42"/>
      <c r="I41" s="40"/>
      <c r="J41" s="41"/>
      <c r="K41" s="42"/>
      <c r="L41" s="43"/>
      <c r="M41" s="44"/>
      <c r="N41" s="45"/>
      <c r="O41" s="1" t="s">
        <v>162</v>
      </c>
      <c r="P41" s="46"/>
      <c r="Q41" s="47"/>
      <c r="R41" s="48"/>
      <c r="S41" s="49"/>
      <c r="U41" s="46"/>
      <c r="V41" s="47"/>
      <c r="W41" s="48"/>
      <c r="X41" s="49"/>
      <c r="Z41" s="50"/>
      <c r="AA41" s="47"/>
      <c r="AB41" s="48"/>
      <c r="AC41" s="51"/>
      <c r="AE41" s="99">
        <v>100.0</v>
      </c>
      <c r="AF41" s="100"/>
      <c r="AG41" s="26"/>
      <c r="AH41" s="27"/>
    </row>
    <row r="42" ht="14.25" customHeight="1">
      <c r="B42" s="9"/>
      <c r="D42" s="11" t="s">
        <v>81</v>
      </c>
      <c r="F42" s="12">
        <v>135.0</v>
      </c>
      <c r="G42" s="13"/>
      <c r="H42" s="14"/>
      <c r="I42" s="12"/>
      <c r="J42" s="13"/>
      <c r="K42" s="14"/>
      <c r="L42" s="12">
        <v>100.0</v>
      </c>
      <c r="M42" s="13" t="s">
        <v>163</v>
      </c>
      <c r="N42" s="14"/>
      <c r="P42" s="101" t="s">
        <v>164</v>
      </c>
      <c r="Q42" s="102" t="s">
        <v>165</v>
      </c>
      <c r="R42" s="59"/>
      <c r="S42" s="60"/>
      <c r="U42" s="101" t="s">
        <v>166</v>
      </c>
      <c r="V42" s="102" t="s">
        <v>167</v>
      </c>
      <c r="W42" s="59"/>
      <c r="X42" s="60"/>
      <c r="Z42" s="103" t="s">
        <v>168</v>
      </c>
      <c r="AA42" s="104" t="s">
        <v>169</v>
      </c>
      <c r="AB42" s="59"/>
      <c r="AC42" s="63"/>
      <c r="AE42" s="105" t="s">
        <v>160</v>
      </c>
      <c r="AF42" s="106"/>
      <c r="AG42" s="3"/>
      <c r="AH42" s="39"/>
    </row>
    <row r="43" ht="14.25" customHeight="1">
      <c r="B43" s="9"/>
      <c r="D43" s="1" t="s">
        <v>12</v>
      </c>
      <c r="F43" s="28"/>
      <c r="G43" s="29"/>
      <c r="H43" s="30"/>
      <c r="I43" s="28"/>
      <c r="J43" s="29"/>
      <c r="K43" s="30"/>
      <c r="L43" s="28">
        <v>100.0</v>
      </c>
      <c r="M43" s="29"/>
      <c r="N43" s="30"/>
      <c r="P43" s="70"/>
      <c r="Q43" s="107" t="s">
        <v>170</v>
      </c>
      <c r="R43" s="72"/>
      <c r="S43" s="73"/>
      <c r="U43" s="70"/>
      <c r="V43" s="107" t="s">
        <v>171</v>
      </c>
      <c r="W43" s="72"/>
      <c r="X43" s="73"/>
      <c r="Z43" s="74"/>
      <c r="AA43" s="108" t="s">
        <v>172</v>
      </c>
      <c r="AB43" s="76"/>
      <c r="AC43" s="77"/>
      <c r="AE43" s="52"/>
      <c r="AF43" s="47"/>
      <c r="AG43" s="48"/>
      <c r="AH43" s="53"/>
    </row>
    <row r="44" ht="14.25" customHeight="1">
      <c r="B44" s="9"/>
      <c r="F44" s="40"/>
      <c r="G44" s="41"/>
      <c r="H44" s="42"/>
      <c r="I44" s="40"/>
      <c r="J44" s="41"/>
      <c r="K44" s="42"/>
      <c r="L44" s="43"/>
      <c r="M44" s="44"/>
      <c r="N44" s="45"/>
      <c r="AE44" s="109" t="s">
        <v>173</v>
      </c>
      <c r="AF44" s="110" t="s">
        <v>174</v>
      </c>
      <c r="AG44" s="59"/>
      <c r="AH44" s="66"/>
    </row>
    <row r="45" ht="14.25" customHeight="1">
      <c r="B45" s="9">
        <v>5.0</v>
      </c>
      <c r="D45" s="11" t="s">
        <v>81</v>
      </c>
      <c r="F45" s="12"/>
      <c r="G45" s="13"/>
      <c r="H45" s="14"/>
      <c r="I45" s="12"/>
      <c r="J45" s="13"/>
      <c r="K45" s="14"/>
      <c r="L45" s="12">
        <v>100.0</v>
      </c>
      <c r="M45" s="13"/>
      <c r="N45" s="14"/>
      <c r="P45" s="91">
        <v>140.0</v>
      </c>
      <c r="Q45" s="92" t="s">
        <v>175</v>
      </c>
      <c r="R45" s="17"/>
      <c r="S45" s="18"/>
      <c r="U45" s="91">
        <v>130.0</v>
      </c>
      <c r="V45" s="92"/>
      <c r="W45" s="17"/>
      <c r="X45" s="18"/>
      <c r="Z45" s="93">
        <v>120.0</v>
      </c>
      <c r="AA45" s="94"/>
      <c r="AB45" s="22"/>
      <c r="AC45" s="23"/>
      <c r="AE45" s="79"/>
      <c r="AF45" s="111" t="s">
        <v>176</v>
      </c>
      <c r="AG45" s="81"/>
      <c r="AH45" s="82"/>
    </row>
    <row r="46" ht="14.25" customHeight="1">
      <c r="B46" s="9"/>
      <c r="D46" s="1" t="s">
        <v>12</v>
      </c>
      <c r="F46" s="28"/>
      <c r="G46" s="29"/>
      <c r="H46" s="30"/>
      <c r="I46" s="28"/>
      <c r="J46" s="29"/>
      <c r="K46" s="30"/>
      <c r="L46" s="28">
        <v>100.0</v>
      </c>
      <c r="M46" s="29"/>
      <c r="N46" s="30"/>
      <c r="O46" s="1" t="s">
        <v>177</v>
      </c>
      <c r="P46" s="95" t="s">
        <v>160</v>
      </c>
      <c r="Q46" s="96" t="s">
        <v>178</v>
      </c>
      <c r="R46" s="3"/>
      <c r="S46" s="33"/>
      <c r="U46" s="95" t="s">
        <v>160</v>
      </c>
      <c r="V46" s="96"/>
      <c r="W46" s="3"/>
      <c r="X46" s="33"/>
      <c r="Z46" s="97" t="s">
        <v>160</v>
      </c>
      <c r="AA46" s="98"/>
      <c r="AB46" s="3"/>
      <c r="AC46" s="36"/>
    </row>
    <row r="47" ht="14.25" customHeight="1">
      <c r="B47" s="9"/>
      <c r="F47" s="40"/>
      <c r="G47" s="41"/>
      <c r="H47" s="42"/>
      <c r="I47" s="40"/>
      <c r="J47" s="41"/>
      <c r="K47" s="42"/>
      <c r="L47" s="43"/>
      <c r="M47" s="44"/>
      <c r="N47" s="45"/>
      <c r="P47" s="46"/>
      <c r="Q47" s="47"/>
      <c r="R47" s="48"/>
      <c r="S47" s="49"/>
      <c r="U47" s="46"/>
      <c r="V47" s="47"/>
      <c r="W47" s="48"/>
      <c r="X47" s="49"/>
      <c r="Z47" s="50"/>
      <c r="AA47" s="47"/>
      <c r="AB47" s="48"/>
      <c r="AC47" s="51"/>
    </row>
    <row r="48" ht="14.25" customHeight="1">
      <c r="B48" s="9"/>
      <c r="D48" s="11" t="s">
        <v>81</v>
      </c>
      <c r="F48" s="12"/>
      <c r="G48" s="13"/>
      <c r="H48" s="14"/>
      <c r="I48" s="12"/>
      <c r="J48" s="13"/>
      <c r="K48" s="14"/>
      <c r="L48" s="12">
        <v>100.0</v>
      </c>
      <c r="M48" s="13"/>
      <c r="N48" s="14"/>
      <c r="P48" s="101" t="s">
        <v>179</v>
      </c>
      <c r="Q48" s="102" t="s">
        <v>180</v>
      </c>
      <c r="R48" s="59"/>
      <c r="S48" s="60"/>
      <c r="U48" s="101" t="s">
        <v>181</v>
      </c>
      <c r="V48" s="102" t="s">
        <v>182</v>
      </c>
      <c r="W48" s="59"/>
      <c r="X48" s="60"/>
      <c r="Z48" s="103" t="s">
        <v>183</v>
      </c>
      <c r="AA48" s="104" t="s">
        <v>184</v>
      </c>
      <c r="AB48" s="59"/>
      <c r="AC48" s="63"/>
      <c r="AE48" s="99">
        <v>100.0</v>
      </c>
      <c r="AF48" s="100"/>
      <c r="AG48" s="26"/>
      <c r="AH48" s="27"/>
    </row>
    <row r="49" ht="14.25" customHeight="1">
      <c r="B49" s="9"/>
      <c r="D49" s="1" t="s">
        <v>12</v>
      </c>
      <c r="F49" s="28"/>
      <c r="G49" s="29"/>
      <c r="H49" s="30"/>
      <c r="I49" s="28"/>
      <c r="J49" s="29"/>
      <c r="K49" s="30"/>
      <c r="L49" s="28">
        <v>100.0</v>
      </c>
      <c r="M49" s="29"/>
      <c r="N49" s="30"/>
      <c r="P49" s="70"/>
      <c r="Q49" s="107" t="s">
        <v>185</v>
      </c>
      <c r="R49" s="72"/>
      <c r="S49" s="73"/>
      <c r="T49" s="1" t="s">
        <v>0</v>
      </c>
      <c r="U49" s="70"/>
      <c r="V49" s="107" t="s">
        <v>186</v>
      </c>
      <c r="W49" s="72"/>
      <c r="X49" s="73"/>
      <c r="Z49" s="74"/>
      <c r="AA49" s="108" t="s">
        <v>187</v>
      </c>
      <c r="AB49" s="76"/>
      <c r="AC49" s="77"/>
      <c r="AE49" s="105" t="s">
        <v>160</v>
      </c>
      <c r="AF49" s="106"/>
      <c r="AG49" s="3"/>
      <c r="AH49" s="39"/>
    </row>
    <row r="50" ht="14.25" customHeight="1">
      <c r="B50" s="9"/>
      <c r="F50" s="40"/>
      <c r="G50" s="41"/>
      <c r="H50" s="42"/>
      <c r="I50" s="40"/>
      <c r="J50" s="41"/>
      <c r="K50" s="42"/>
      <c r="L50" s="43"/>
      <c r="M50" s="44"/>
      <c r="N50" s="45"/>
      <c r="AE50" s="52"/>
      <c r="AF50" s="47"/>
      <c r="AG50" s="48"/>
      <c r="AH50" s="53"/>
    </row>
    <row r="51" ht="14.25" customHeight="1">
      <c r="B51" s="9">
        <v>6.0</v>
      </c>
      <c r="D51" s="11" t="s">
        <v>160</v>
      </c>
      <c r="E51" s="1" t="s">
        <v>188</v>
      </c>
      <c r="F51" s="12">
        <v>135.0</v>
      </c>
      <c r="G51" s="13" t="s">
        <v>189</v>
      </c>
      <c r="H51" s="14"/>
      <c r="I51" s="12">
        <v>115.0</v>
      </c>
      <c r="J51" s="13" t="s">
        <v>190</v>
      </c>
      <c r="K51" s="14"/>
      <c r="L51" s="12">
        <v>100.0</v>
      </c>
      <c r="M51" s="13" t="s">
        <v>191</v>
      </c>
      <c r="N51" s="14"/>
      <c r="P51" s="91">
        <v>140.0</v>
      </c>
      <c r="Q51" s="92" t="s">
        <v>192</v>
      </c>
      <c r="R51" s="17"/>
      <c r="S51" s="18"/>
      <c r="U51" s="91">
        <v>130.0</v>
      </c>
      <c r="V51" s="92"/>
      <c r="W51" s="17"/>
      <c r="X51" s="18"/>
      <c r="Z51" s="93">
        <v>120.0</v>
      </c>
      <c r="AA51" s="94"/>
      <c r="AB51" s="22"/>
      <c r="AC51" s="23"/>
      <c r="AE51" s="109" t="s">
        <v>193</v>
      </c>
      <c r="AF51" s="110" t="s">
        <v>194</v>
      </c>
      <c r="AG51" s="59"/>
      <c r="AH51" s="66"/>
    </row>
    <row r="52" ht="14.25" customHeight="1">
      <c r="B52" s="9"/>
      <c r="D52" s="1" t="s">
        <v>12</v>
      </c>
      <c r="F52" s="28">
        <f>F51</f>
        <v>135</v>
      </c>
      <c r="G52" s="29"/>
      <c r="H52" s="30"/>
      <c r="I52" s="28">
        <v>115.0</v>
      </c>
      <c r="J52" s="29"/>
      <c r="K52" s="30"/>
      <c r="L52" s="28">
        <v>100.0</v>
      </c>
      <c r="M52" s="29"/>
      <c r="N52" s="30"/>
      <c r="P52" s="95" t="s">
        <v>160</v>
      </c>
      <c r="Q52" s="96" t="s">
        <v>195</v>
      </c>
      <c r="R52" s="3"/>
      <c r="S52" s="33"/>
      <c r="U52" s="95" t="s">
        <v>160</v>
      </c>
      <c r="V52" s="96"/>
      <c r="W52" s="3"/>
      <c r="X52" s="33"/>
      <c r="Z52" s="97" t="s">
        <v>160</v>
      </c>
      <c r="AA52" s="98"/>
      <c r="AB52" s="3"/>
      <c r="AC52" s="36"/>
      <c r="AE52" s="79"/>
      <c r="AF52" s="111" t="s">
        <v>196</v>
      </c>
      <c r="AG52" s="81"/>
      <c r="AH52" s="82"/>
    </row>
    <row r="53" ht="14.25" customHeight="1">
      <c r="B53" s="9"/>
      <c r="F53" s="40">
        <f>F52-25</f>
        <v>110</v>
      </c>
      <c r="G53" s="41"/>
      <c r="H53" s="42"/>
      <c r="I53" s="40">
        <v>100.0</v>
      </c>
      <c r="J53" s="41"/>
      <c r="K53" s="42"/>
      <c r="L53" s="43"/>
      <c r="M53" s="44"/>
      <c r="N53" s="45"/>
      <c r="O53" s="1" t="s">
        <v>197</v>
      </c>
      <c r="P53" s="46"/>
      <c r="Q53" s="47"/>
      <c r="R53" s="48"/>
      <c r="S53" s="49"/>
      <c r="U53" s="46"/>
      <c r="V53" s="47"/>
      <c r="W53" s="48"/>
      <c r="X53" s="49"/>
      <c r="Z53" s="50"/>
      <c r="AA53" s="47"/>
      <c r="AB53" s="48"/>
      <c r="AC53" s="51"/>
    </row>
    <row r="54" ht="14.25" customHeight="1">
      <c r="B54" s="9"/>
      <c r="D54" s="11" t="s">
        <v>160</v>
      </c>
      <c r="E54" s="1" t="s">
        <v>177</v>
      </c>
      <c r="F54" s="12">
        <v>140.0</v>
      </c>
      <c r="G54" s="13" t="s">
        <v>198</v>
      </c>
      <c r="H54" s="14"/>
      <c r="I54" s="12">
        <v>125.0</v>
      </c>
      <c r="J54" s="13" t="s">
        <v>199</v>
      </c>
      <c r="K54" s="14"/>
      <c r="L54" s="12">
        <v>100.0</v>
      </c>
      <c r="M54" s="13"/>
      <c r="N54" s="14"/>
      <c r="P54" s="112" t="s">
        <v>200</v>
      </c>
      <c r="Q54" s="102" t="s">
        <v>201</v>
      </c>
      <c r="R54" s="59"/>
      <c r="S54" s="60"/>
      <c r="U54" s="101" t="s">
        <v>202</v>
      </c>
      <c r="V54" s="102" t="s">
        <v>203</v>
      </c>
      <c r="W54" s="59"/>
      <c r="X54" s="60"/>
      <c r="Z54" s="103" t="s">
        <v>204</v>
      </c>
      <c r="AA54" s="104" t="s">
        <v>205</v>
      </c>
      <c r="AB54" s="59"/>
      <c r="AC54" s="63"/>
    </row>
    <row r="55" ht="14.25" customHeight="1">
      <c r="B55" s="9"/>
      <c r="D55" s="1" t="s">
        <v>12</v>
      </c>
      <c r="F55" s="28">
        <f>F54</f>
        <v>140</v>
      </c>
      <c r="G55" s="29"/>
      <c r="H55" s="30"/>
      <c r="I55" s="28">
        <f>I54</f>
        <v>125</v>
      </c>
      <c r="J55" s="29"/>
      <c r="K55" s="30"/>
      <c r="L55" s="28">
        <v>100.0</v>
      </c>
      <c r="M55" s="29"/>
      <c r="N55" s="30"/>
      <c r="P55" s="101" t="s">
        <v>206</v>
      </c>
      <c r="Q55" s="102" t="s">
        <v>207</v>
      </c>
      <c r="R55" s="59"/>
      <c r="S55" s="60"/>
      <c r="U55" s="70"/>
      <c r="V55" s="107" t="s">
        <v>208</v>
      </c>
      <c r="W55" s="72"/>
      <c r="X55" s="73"/>
      <c r="Z55" s="74"/>
      <c r="AA55" s="108" t="s">
        <v>209</v>
      </c>
      <c r="AB55" s="76"/>
      <c r="AC55" s="77"/>
    </row>
    <row r="56" ht="14.25" customHeight="1">
      <c r="B56" s="9"/>
      <c r="F56" s="40">
        <f>F55-25</f>
        <v>115</v>
      </c>
      <c r="G56" s="41"/>
      <c r="H56" s="42"/>
      <c r="I56" s="40">
        <f>I55-20</f>
        <v>105</v>
      </c>
      <c r="J56" s="41"/>
      <c r="K56" s="42"/>
      <c r="L56" s="43"/>
      <c r="M56" s="44"/>
      <c r="N56" s="45"/>
      <c r="P56" s="70"/>
      <c r="Q56" s="107" t="s">
        <v>210</v>
      </c>
      <c r="R56" s="72"/>
      <c r="S56" s="73"/>
    </row>
    <row r="57" ht="14.25" hidden="1" customHeight="1">
      <c r="B57" s="9">
        <v>7.0</v>
      </c>
      <c r="D57" s="11" t="s">
        <v>160</v>
      </c>
      <c r="E57" s="1" t="s">
        <v>211</v>
      </c>
      <c r="F57" s="12">
        <v>130.0</v>
      </c>
      <c r="G57" s="13" t="s">
        <v>159</v>
      </c>
      <c r="H57" s="14"/>
      <c r="I57" s="12">
        <v>115.0</v>
      </c>
      <c r="J57" s="13" t="s">
        <v>158</v>
      </c>
      <c r="K57" s="14"/>
      <c r="L57" s="12">
        <v>100.0</v>
      </c>
      <c r="M57" s="13" t="s">
        <v>212</v>
      </c>
      <c r="N57" s="14"/>
      <c r="P57" s="113">
        <v>140.0</v>
      </c>
      <c r="Q57" s="114"/>
      <c r="R57" s="17"/>
      <c r="S57" s="18"/>
      <c r="U57" s="113">
        <v>130.0</v>
      </c>
      <c r="V57" s="114"/>
      <c r="W57" s="17"/>
      <c r="X57" s="18"/>
      <c r="Z57" s="115">
        <v>120.0</v>
      </c>
      <c r="AA57" s="116"/>
      <c r="AB57" s="22"/>
      <c r="AC57" s="23"/>
    </row>
    <row r="58" ht="14.25" hidden="1" customHeight="1">
      <c r="B58" s="9"/>
      <c r="D58" s="1" t="s">
        <v>12</v>
      </c>
      <c r="F58" s="28">
        <f>F57</f>
        <v>130</v>
      </c>
      <c r="G58" s="29"/>
      <c r="H58" s="30"/>
      <c r="I58" s="28">
        <v>115.0</v>
      </c>
      <c r="J58" s="29"/>
      <c r="K58" s="30"/>
      <c r="L58" s="28">
        <v>100.0</v>
      </c>
      <c r="M58" s="29"/>
      <c r="N58" s="30"/>
      <c r="P58" s="117" t="s">
        <v>213</v>
      </c>
      <c r="Q58" s="118"/>
      <c r="R58" s="3"/>
      <c r="S58" s="33"/>
      <c r="U58" s="117" t="s">
        <v>213</v>
      </c>
      <c r="V58" s="118"/>
      <c r="W58" s="3"/>
      <c r="X58" s="33"/>
      <c r="Z58" s="119" t="s">
        <v>213</v>
      </c>
      <c r="AA58" s="120"/>
      <c r="AB58" s="3"/>
      <c r="AC58" s="36"/>
      <c r="AE58" s="78"/>
      <c r="AF58" s="78"/>
      <c r="AG58" s="78"/>
      <c r="AH58" s="78"/>
    </row>
    <row r="59" ht="14.25" hidden="1" customHeight="1">
      <c r="B59" s="9"/>
      <c r="F59" s="40">
        <f>F58-25</f>
        <v>105</v>
      </c>
      <c r="G59" s="41"/>
      <c r="H59" s="42"/>
      <c r="I59" s="40">
        <v>100.0</v>
      </c>
      <c r="J59" s="41"/>
      <c r="K59" s="42"/>
      <c r="L59" s="43"/>
      <c r="M59" s="44"/>
      <c r="N59" s="45"/>
      <c r="P59" s="46"/>
      <c r="Q59" s="47"/>
      <c r="R59" s="48"/>
      <c r="S59" s="49"/>
      <c r="U59" s="46"/>
      <c r="V59" s="47"/>
      <c r="W59" s="48"/>
      <c r="X59" s="49"/>
      <c r="Z59" s="50"/>
      <c r="AA59" s="47"/>
      <c r="AB59" s="48"/>
      <c r="AC59" s="51"/>
      <c r="AE59" s="121">
        <v>103.0</v>
      </c>
      <c r="AF59" s="122"/>
      <c r="AG59" s="26"/>
      <c r="AH59" s="27"/>
    </row>
    <row r="60" ht="14.25" hidden="1" customHeight="1">
      <c r="B60" s="9"/>
      <c r="D60" s="11" t="s">
        <v>160</v>
      </c>
      <c r="E60" s="1" t="s">
        <v>197</v>
      </c>
      <c r="F60" s="12">
        <v>135.0</v>
      </c>
      <c r="G60" s="13" t="s">
        <v>192</v>
      </c>
      <c r="H60" s="14"/>
      <c r="I60" s="12">
        <v>120.0</v>
      </c>
      <c r="J60" s="13" t="s">
        <v>214</v>
      </c>
      <c r="K60" s="14"/>
      <c r="L60" s="12">
        <v>100.0</v>
      </c>
      <c r="M60" s="13"/>
      <c r="N60" s="14"/>
      <c r="P60" s="123" t="s">
        <v>215</v>
      </c>
      <c r="Q60" s="124" t="s">
        <v>216</v>
      </c>
      <c r="R60" s="59"/>
      <c r="S60" s="60"/>
      <c r="U60" s="123" t="s">
        <v>217</v>
      </c>
      <c r="V60" s="124" t="s">
        <v>218</v>
      </c>
      <c r="W60" s="59"/>
      <c r="X60" s="60"/>
      <c r="Z60" s="125" t="s">
        <v>219</v>
      </c>
      <c r="AA60" s="126" t="s">
        <v>220</v>
      </c>
      <c r="AB60" s="59"/>
      <c r="AC60" s="63"/>
      <c r="AE60" s="127" t="s">
        <v>213</v>
      </c>
      <c r="AF60" s="128"/>
      <c r="AG60" s="3"/>
      <c r="AH60" s="39"/>
    </row>
    <row r="61" ht="14.25" hidden="1" customHeight="1">
      <c r="B61" s="9"/>
      <c r="D61" s="1" t="s">
        <v>12</v>
      </c>
      <c r="F61" s="28">
        <f>F60</f>
        <v>135</v>
      </c>
      <c r="G61" s="29"/>
      <c r="H61" s="30"/>
      <c r="I61" s="28">
        <f>I60</f>
        <v>120</v>
      </c>
      <c r="J61" s="29"/>
      <c r="K61" s="30"/>
      <c r="L61" s="28">
        <v>100.0</v>
      </c>
      <c r="M61" s="29"/>
      <c r="N61" s="30"/>
      <c r="P61" s="70"/>
      <c r="Q61" s="129" t="s">
        <v>221</v>
      </c>
      <c r="R61" s="72"/>
      <c r="S61" s="73"/>
      <c r="U61" s="70"/>
      <c r="V61" s="129" t="s">
        <v>222</v>
      </c>
      <c r="W61" s="72"/>
      <c r="X61" s="73"/>
      <c r="Z61" s="74"/>
      <c r="AA61" s="130" t="s">
        <v>223</v>
      </c>
      <c r="AB61" s="76"/>
      <c r="AC61" s="77"/>
      <c r="AE61" s="52"/>
      <c r="AF61" s="47"/>
      <c r="AG61" s="48"/>
      <c r="AH61" s="53"/>
    </row>
    <row r="62" ht="14.25" hidden="1" customHeight="1">
      <c r="B62" s="9"/>
      <c r="F62" s="40">
        <f>F61-25</f>
        <v>110</v>
      </c>
      <c r="G62" s="41"/>
      <c r="H62" s="42"/>
      <c r="I62" s="40">
        <f>I61-20</f>
        <v>100</v>
      </c>
      <c r="J62" s="41"/>
      <c r="K62" s="42"/>
      <c r="L62" s="43"/>
      <c r="M62" s="44"/>
      <c r="N62" s="45"/>
      <c r="AE62" s="131" t="s">
        <v>224</v>
      </c>
      <c r="AF62" s="132" t="s">
        <v>225</v>
      </c>
      <c r="AG62" s="59"/>
      <c r="AH62" s="66"/>
    </row>
    <row r="63" ht="14.25" hidden="1" customHeight="1">
      <c r="B63" s="9">
        <v>8.0</v>
      </c>
      <c r="D63" s="11" t="s">
        <v>160</v>
      </c>
      <c r="E63" s="1" t="s">
        <v>226</v>
      </c>
      <c r="F63" s="12">
        <v>140.0</v>
      </c>
      <c r="G63" s="13" t="s">
        <v>227</v>
      </c>
      <c r="H63" s="14"/>
      <c r="I63" s="12">
        <v>125.0</v>
      </c>
      <c r="J63" s="13" t="s">
        <v>228</v>
      </c>
      <c r="K63" s="14"/>
      <c r="L63" s="12">
        <v>100.0</v>
      </c>
      <c r="M63" s="13" t="s">
        <v>229</v>
      </c>
      <c r="N63" s="14"/>
      <c r="P63" s="113">
        <v>140.0</v>
      </c>
      <c r="Q63" s="114"/>
      <c r="R63" s="17"/>
      <c r="S63" s="18"/>
      <c r="U63" s="113">
        <v>130.0</v>
      </c>
      <c r="V63" s="114"/>
      <c r="W63" s="17"/>
      <c r="X63" s="18"/>
      <c r="Z63" s="115">
        <v>120.0</v>
      </c>
      <c r="AA63" s="116"/>
      <c r="AB63" s="22"/>
      <c r="AC63" s="23"/>
      <c r="AE63" s="79"/>
      <c r="AF63" s="133" t="s">
        <v>230</v>
      </c>
      <c r="AG63" s="81"/>
      <c r="AH63" s="82"/>
    </row>
    <row r="64" ht="14.25" hidden="1" customHeight="1">
      <c r="B64" s="9"/>
      <c r="D64" s="1" t="s">
        <v>12</v>
      </c>
      <c r="F64" s="28">
        <f>F63</f>
        <v>140</v>
      </c>
      <c r="G64" s="29"/>
      <c r="H64" s="30"/>
      <c r="I64" s="28">
        <f>I63</f>
        <v>125</v>
      </c>
      <c r="J64" s="29"/>
      <c r="K64" s="30"/>
      <c r="L64" s="28">
        <v>100.0</v>
      </c>
      <c r="M64" s="29"/>
      <c r="N64" s="30"/>
      <c r="P64" s="117" t="s">
        <v>213</v>
      </c>
      <c r="Q64" s="118"/>
      <c r="R64" s="3"/>
      <c r="S64" s="33"/>
      <c r="U64" s="117" t="s">
        <v>213</v>
      </c>
      <c r="V64" s="118"/>
      <c r="W64" s="3"/>
      <c r="X64" s="33"/>
      <c r="Z64" s="119" t="s">
        <v>213</v>
      </c>
      <c r="AA64" s="120"/>
      <c r="AB64" s="3"/>
      <c r="AC64" s="36"/>
    </row>
    <row r="65" ht="14.25" hidden="1" customHeight="1">
      <c r="B65" s="9"/>
      <c r="F65" s="40">
        <f>F64-25</f>
        <v>115</v>
      </c>
      <c r="G65" s="41"/>
      <c r="H65" s="42"/>
      <c r="I65" s="40">
        <f>I64-20</f>
        <v>105</v>
      </c>
      <c r="J65" s="41"/>
      <c r="K65" s="42"/>
      <c r="L65" s="43"/>
      <c r="M65" s="44"/>
      <c r="N65" s="45"/>
      <c r="P65" s="46"/>
      <c r="Q65" s="47"/>
      <c r="R65" s="48"/>
      <c r="S65" s="49"/>
      <c r="U65" s="46"/>
      <c r="V65" s="47"/>
      <c r="W65" s="48"/>
      <c r="X65" s="49"/>
      <c r="Z65" s="50"/>
      <c r="AA65" s="47"/>
      <c r="AB65" s="48"/>
      <c r="AC65" s="51"/>
      <c r="AD65" s="134"/>
    </row>
    <row r="66" ht="14.25" hidden="1" customHeight="1">
      <c r="B66" s="9"/>
      <c r="P66" s="123" t="s">
        <v>231</v>
      </c>
      <c r="Q66" s="124" t="s">
        <v>232</v>
      </c>
      <c r="R66" s="59"/>
      <c r="S66" s="60"/>
      <c r="U66" s="123" t="s">
        <v>233</v>
      </c>
      <c r="V66" s="124" t="s">
        <v>234</v>
      </c>
      <c r="W66" s="59"/>
      <c r="X66" s="60"/>
      <c r="Z66" s="125" t="s">
        <v>235</v>
      </c>
      <c r="AA66" s="126" t="s">
        <v>236</v>
      </c>
      <c r="AB66" s="59"/>
      <c r="AC66" s="63"/>
      <c r="AE66" s="121">
        <v>103.0</v>
      </c>
      <c r="AF66" s="122"/>
      <c r="AG66" s="26"/>
      <c r="AH66" s="27"/>
    </row>
    <row r="67" ht="14.25" hidden="1" customHeight="1">
      <c r="B67" s="9"/>
      <c r="P67" s="70"/>
      <c r="Q67" s="129" t="s">
        <v>237</v>
      </c>
      <c r="R67" s="72"/>
      <c r="S67" s="73"/>
      <c r="T67" s="1" t="s">
        <v>0</v>
      </c>
      <c r="U67" s="70"/>
      <c r="V67" s="129" t="s">
        <v>238</v>
      </c>
      <c r="W67" s="72"/>
      <c r="X67" s="73"/>
      <c r="Z67" s="74"/>
      <c r="AA67" s="130" t="s">
        <v>239</v>
      </c>
      <c r="AB67" s="76"/>
      <c r="AC67" s="77"/>
      <c r="AE67" s="127" t="s">
        <v>213</v>
      </c>
      <c r="AF67" s="128"/>
      <c r="AG67" s="3"/>
      <c r="AH67" s="39"/>
    </row>
    <row r="68" ht="14.25" hidden="1" customHeight="1">
      <c r="B68" s="9"/>
      <c r="L68" s="135" t="s">
        <v>240</v>
      </c>
      <c r="M68" s="13" t="s">
        <v>241</v>
      </c>
      <c r="N68" s="14"/>
      <c r="AE68" s="52"/>
      <c r="AF68" s="47"/>
      <c r="AG68" s="48"/>
      <c r="AH68" s="53"/>
    </row>
    <row r="69" ht="14.25" hidden="1" customHeight="1">
      <c r="B69" s="9">
        <v>9.0</v>
      </c>
      <c r="L69" s="136" t="s">
        <v>242</v>
      </c>
      <c r="M69" s="29"/>
      <c r="N69" s="30"/>
      <c r="P69" s="113">
        <v>140.0</v>
      </c>
      <c r="Q69" s="114"/>
      <c r="R69" s="17"/>
      <c r="S69" s="18"/>
      <c r="U69" s="113">
        <v>130.0</v>
      </c>
      <c r="V69" s="114"/>
      <c r="W69" s="17"/>
      <c r="X69" s="18"/>
      <c r="Z69" s="115">
        <v>120.0</v>
      </c>
      <c r="AA69" s="116"/>
      <c r="AB69" s="22"/>
      <c r="AC69" s="23"/>
      <c r="AE69" s="131" t="s">
        <v>243</v>
      </c>
      <c r="AF69" s="132" t="s">
        <v>244</v>
      </c>
      <c r="AG69" s="59"/>
      <c r="AH69" s="66"/>
    </row>
    <row r="70" ht="14.25" hidden="1" customHeight="1">
      <c r="B70" s="9"/>
      <c r="L70" s="43"/>
      <c r="M70" s="44"/>
      <c r="N70" s="45"/>
      <c r="P70" s="117" t="s">
        <v>213</v>
      </c>
      <c r="Q70" s="118"/>
      <c r="R70" s="3"/>
      <c r="S70" s="33"/>
      <c r="U70" s="117" t="s">
        <v>213</v>
      </c>
      <c r="V70" s="118"/>
      <c r="W70" s="3"/>
      <c r="X70" s="33"/>
      <c r="Z70" s="119" t="s">
        <v>213</v>
      </c>
      <c r="AA70" s="120"/>
      <c r="AB70" s="3"/>
      <c r="AC70" s="36"/>
      <c r="AE70" s="79"/>
      <c r="AF70" s="133" t="s">
        <v>245</v>
      </c>
      <c r="AG70" s="81"/>
      <c r="AH70" s="82"/>
    </row>
    <row r="71" ht="14.25" hidden="1" customHeight="1">
      <c r="B71" s="9"/>
      <c r="N71" s="1" t="s">
        <v>0</v>
      </c>
      <c r="P71" s="46"/>
      <c r="Q71" s="47"/>
      <c r="R71" s="48"/>
      <c r="S71" s="49"/>
      <c r="U71" s="46"/>
      <c r="V71" s="47"/>
      <c r="W71" s="48"/>
      <c r="X71" s="49"/>
      <c r="Z71" s="50"/>
      <c r="AA71" s="47"/>
      <c r="AB71" s="48"/>
      <c r="AC71" s="51"/>
    </row>
    <row r="72" ht="14.25" hidden="1" customHeight="1">
      <c r="B72" s="9"/>
      <c r="P72" s="123" t="s">
        <v>246</v>
      </c>
      <c r="Q72" s="124" t="s">
        <v>247</v>
      </c>
      <c r="R72" s="59"/>
      <c r="S72" s="60"/>
      <c r="U72" s="123" t="s">
        <v>248</v>
      </c>
      <c r="V72" s="124" t="s">
        <v>249</v>
      </c>
      <c r="W72" s="59"/>
      <c r="X72" s="60"/>
      <c r="Z72" s="125" t="s">
        <v>250</v>
      </c>
      <c r="AA72" s="126" t="s">
        <v>251</v>
      </c>
      <c r="AB72" s="59"/>
      <c r="AC72" s="63"/>
    </row>
    <row r="73" ht="14.25" hidden="1" customHeight="1">
      <c r="B73" s="9"/>
      <c r="P73" s="70"/>
      <c r="Q73" s="129" t="s">
        <v>252</v>
      </c>
      <c r="R73" s="72"/>
      <c r="S73" s="73"/>
      <c r="U73" s="70"/>
      <c r="V73" s="129" t="s">
        <v>253</v>
      </c>
      <c r="W73" s="72"/>
      <c r="X73" s="73"/>
      <c r="Z73" s="74"/>
      <c r="AA73" s="130" t="s">
        <v>254</v>
      </c>
      <c r="AB73" s="76"/>
      <c r="AC73" s="77"/>
    </row>
    <row r="74" ht="14.25" hidden="1" customHeight="1">
      <c r="B74" s="9"/>
      <c r="L74" s="135" t="s">
        <v>240</v>
      </c>
      <c r="M74" s="13" t="s">
        <v>255</v>
      </c>
      <c r="N74" s="14"/>
    </row>
    <row r="75" ht="14.25" hidden="1" customHeight="1">
      <c r="B75" s="9">
        <v>10.0</v>
      </c>
      <c r="L75" s="136" t="s">
        <v>242</v>
      </c>
      <c r="M75" s="29"/>
      <c r="N75" s="30"/>
      <c r="P75" s="137">
        <v>140.0</v>
      </c>
      <c r="Q75" s="138"/>
      <c r="R75" s="17"/>
      <c r="S75" s="18"/>
      <c r="U75" s="137">
        <v>130.0</v>
      </c>
      <c r="V75" s="138"/>
      <c r="W75" s="17"/>
      <c r="X75" s="18"/>
      <c r="Z75" s="139">
        <v>120.0</v>
      </c>
      <c r="AA75" s="140"/>
      <c r="AB75" s="22"/>
      <c r="AC75" s="23"/>
    </row>
    <row r="76" ht="14.25" hidden="1" customHeight="1">
      <c r="B76" s="9"/>
      <c r="L76" s="43"/>
      <c r="M76" s="44"/>
      <c r="N76" s="45"/>
      <c r="P76" s="141" t="s">
        <v>256</v>
      </c>
      <c r="Q76" s="142"/>
      <c r="R76" s="3"/>
      <c r="S76" s="33"/>
      <c r="U76" s="141" t="s">
        <v>256</v>
      </c>
      <c r="V76" s="142"/>
      <c r="W76" s="3"/>
      <c r="X76" s="33"/>
      <c r="Z76" s="143" t="s">
        <v>256</v>
      </c>
      <c r="AA76" s="144"/>
      <c r="AB76" s="3"/>
      <c r="AC76" s="36"/>
      <c r="AE76" s="78"/>
      <c r="AF76" s="78"/>
      <c r="AG76" s="78"/>
      <c r="AH76" s="78"/>
    </row>
    <row r="77" ht="14.25" hidden="1" customHeight="1">
      <c r="B77" s="9"/>
      <c r="L77" s="1" t="s">
        <v>0</v>
      </c>
      <c r="P77" s="46"/>
      <c r="Q77" s="47"/>
      <c r="R77" s="48"/>
      <c r="S77" s="49"/>
      <c r="U77" s="46"/>
      <c r="V77" s="47"/>
      <c r="W77" s="48"/>
      <c r="X77" s="49"/>
      <c r="Z77" s="50"/>
      <c r="AA77" s="47"/>
      <c r="AB77" s="48"/>
      <c r="AC77" s="51"/>
      <c r="AE77" s="145">
        <v>110.0</v>
      </c>
      <c r="AF77" s="146"/>
      <c r="AG77" s="26"/>
      <c r="AH77" s="27"/>
    </row>
    <row r="78" ht="14.25" hidden="1" customHeight="1">
      <c r="B78" s="9"/>
      <c r="P78" s="147" t="s">
        <v>257</v>
      </c>
      <c r="Q78" s="148" t="s">
        <v>258</v>
      </c>
      <c r="R78" s="59"/>
      <c r="S78" s="60"/>
      <c r="U78" s="147" t="s">
        <v>259</v>
      </c>
      <c r="V78" s="148" t="s">
        <v>260</v>
      </c>
      <c r="W78" s="59"/>
      <c r="X78" s="60"/>
      <c r="Z78" s="149" t="s">
        <v>261</v>
      </c>
      <c r="AA78" s="150" t="s">
        <v>262</v>
      </c>
      <c r="AB78" s="59"/>
      <c r="AC78" s="63"/>
      <c r="AE78" s="151" t="s">
        <v>256</v>
      </c>
      <c r="AF78" s="152"/>
      <c r="AG78" s="3"/>
      <c r="AH78" s="39"/>
    </row>
    <row r="79" ht="14.25" hidden="1" customHeight="1">
      <c r="B79" s="9"/>
      <c r="P79" s="70"/>
      <c r="Q79" s="153" t="s">
        <v>263</v>
      </c>
      <c r="R79" s="72"/>
      <c r="S79" s="73"/>
      <c r="U79" s="70"/>
      <c r="V79" s="153" t="s">
        <v>264</v>
      </c>
      <c r="W79" s="72"/>
      <c r="X79" s="73"/>
      <c r="Z79" s="74"/>
      <c r="AA79" s="154" t="s">
        <v>265</v>
      </c>
      <c r="AB79" s="76"/>
      <c r="AC79" s="77"/>
      <c r="AE79" s="52"/>
      <c r="AF79" s="47"/>
      <c r="AG79" s="48"/>
      <c r="AH79" s="53"/>
    </row>
    <row r="80" ht="14.25" hidden="1" customHeight="1">
      <c r="B80" s="9"/>
      <c r="L80" s="135" t="s">
        <v>240</v>
      </c>
      <c r="M80" s="13" t="s">
        <v>266</v>
      </c>
      <c r="N80" s="14"/>
      <c r="AE80" s="155" t="s">
        <v>267</v>
      </c>
      <c r="AF80" s="156" t="s">
        <v>268</v>
      </c>
      <c r="AG80" s="59"/>
      <c r="AH80" s="66"/>
    </row>
    <row r="81" ht="14.25" hidden="1" customHeight="1">
      <c r="B81" s="9">
        <v>11.0</v>
      </c>
      <c r="L81" s="136" t="s">
        <v>242</v>
      </c>
      <c r="M81" s="29"/>
      <c r="N81" s="30"/>
      <c r="P81" s="137">
        <v>140.0</v>
      </c>
      <c r="Q81" s="138"/>
      <c r="R81" s="17"/>
      <c r="S81" s="18"/>
      <c r="U81" s="137">
        <v>130.0</v>
      </c>
      <c r="V81" s="138"/>
      <c r="W81" s="17"/>
      <c r="X81" s="18"/>
      <c r="Z81" s="139">
        <v>120.0</v>
      </c>
      <c r="AA81" s="140"/>
      <c r="AB81" s="22"/>
      <c r="AC81" s="23"/>
      <c r="AE81" s="79"/>
      <c r="AF81" s="157" t="s">
        <v>269</v>
      </c>
      <c r="AG81" s="81"/>
      <c r="AH81" s="82"/>
    </row>
    <row r="82" ht="14.25" hidden="1" customHeight="1">
      <c r="B82" s="9"/>
      <c r="L82" s="43"/>
      <c r="M82" s="44"/>
      <c r="N82" s="45"/>
      <c r="P82" s="141" t="s">
        <v>256</v>
      </c>
      <c r="Q82" s="142"/>
      <c r="R82" s="3"/>
      <c r="S82" s="33"/>
      <c r="U82" s="141" t="s">
        <v>256</v>
      </c>
      <c r="V82" s="142"/>
      <c r="W82" s="3"/>
      <c r="X82" s="33"/>
      <c r="Z82" s="143" t="s">
        <v>256</v>
      </c>
      <c r="AA82" s="144"/>
      <c r="AB82" s="3"/>
      <c r="AC82" s="36"/>
    </row>
    <row r="83" ht="14.25" hidden="1" customHeight="1">
      <c r="B83" s="9"/>
      <c r="P83" s="46"/>
      <c r="Q83" s="47"/>
      <c r="R83" s="48"/>
      <c r="S83" s="49"/>
      <c r="U83" s="46"/>
      <c r="V83" s="47"/>
      <c r="W83" s="48"/>
      <c r="X83" s="49"/>
      <c r="Z83" s="50"/>
      <c r="AA83" s="47"/>
      <c r="AB83" s="48"/>
      <c r="AC83" s="51"/>
      <c r="AD83" s="134"/>
    </row>
    <row r="84" ht="14.25" hidden="1" customHeight="1">
      <c r="B84" s="9"/>
      <c r="P84" s="147" t="s">
        <v>270</v>
      </c>
      <c r="Q84" s="148" t="s">
        <v>271</v>
      </c>
      <c r="R84" s="59"/>
      <c r="S84" s="60"/>
      <c r="U84" s="147" t="s">
        <v>272</v>
      </c>
      <c r="V84" s="148" t="s">
        <v>273</v>
      </c>
      <c r="W84" s="59"/>
      <c r="X84" s="60"/>
      <c r="Z84" s="149" t="s">
        <v>274</v>
      </c>
      <c r="AA84" s="150" t="s">
        <v>275</v>
      </c>
      <c r="AB84" s="59"/>
      <c r="AC84" s="63"/>
      <c r="AE84" s="145">
        <v>110.0</v>
      </c>
      <c r="AF84" s="146"/>
      <c r="AG84" s="26"/>
      <c r="AH84" s="27"/>
    </row>
    <row r="85" ht="14.25" hidden="1" customHeight="1">
      <c r="B85" s="9"/>
      <c r="P85" s="70"/>
      <c r="Q85" s="153" t="s">
        <v>276</v>
      </c>
      <c r="R85" s="72"/>
      <c r="S85" s="73"/>
      <c r="T85" s="1" t="s">
        <v>0</v>
      </c>
      <c r="U85" s="70"/>
      <c r="V85" s="153" t="s">
        <v>277</v>
      </c>
      <c r="W85" s="72"/>
      <c r="X85" s="73"/>
      <c r="Z85" s="74"/>
      <c r="AA85" s="154" t="s">
        <v>278</v>
      </c>
      <c r="AB85" s="76"/>
      <c r="AC85" s="77"/>
      <c r="AE85" s="151" t="s">
        <v>256</v>
      </c>
      <c r="AF85" s="152"/>
      <c r="AG85" s="3"/>
      <c r="AH85" s="39"/>
    </row>
    <row r="86" ht="14.25" hidden="1" customHeight="1">
      <c r="B86" s="9"/>
      <c r="AE86" s="52"/>
      <c r="AF86" s="47"/>
      <c r="AG86" s="48"/>
      <c r="AH86" s="53"/>
    </row>
    <row r="87" ht="14.25" hidden="1" customHeight="1">
      <c r="B87" s="9">
        <v>12.0</v>
      </c>
      <c r="P87" s="137">
        <v>140.0</v>
      </c>
      <c r="Q87" s="138"/>
      <c r="R87" s="17"/>
      <c r="S87" s="18"/>
      <c r="U87" s="137">
        <v>130.0</v>
      </c>
      <c r="V87" s="138"/>
      <c r="W87" s="17"/>
      <c r="X87" s="18"/>
      <c r="Z87" s="139">
        <v>120.0</v>
      </c>
      <c r="AA87" s="140"/>
      <c r="AB87" s="22"/>
      <c r="AC87" s="23"/>
      <c r="AE87" s="155" t="s">
        <v>279</v>
      </c>
      <c r="AF87" s="156" t="s">
        <v>280</v>
      </c>
      <c r="AG87" s="59"/>
      <c r="AH87" s="66"/>
    </row>
    <row r="88" ht="14.25" hidden="1" customHeight="1">
      <c r="B88" s="9"/>
      <c r="P88" s="141" t="s">
        <v>256</v>
      </c>
      <c r="Q88" s="142"/>
      <c r="R88" s="3"/>
      <c r="S88" s="33"/>
      <c r="U88" s="141" t="s">
        <v>256</v>
      </c>
      <c r="V88" s="142"/>
      <c r="W88" s="3"/>
      <c r="X88" s="33"/>
      <c r="Z88" s="143" t="s">
        <v>256</v>
      </c>
      <c r="AA88" s="144"/>
      <c r="AB88" s="3"/>
      <c r="AC88" s="36"/>
      <c r="AE88" s="79"/>
      <c r="AF88" s="157" t="s">
        <v>281</v>
      </c>
      <c r="AG88" s="81"/>
      <c r="AH88" s="82"/>
    </row>
    <row r="89" ht="14.25" hidden="1" customHeight="1">
      <c r="B89" s="9"/>
      <c r="P89" s="46"/>
      <c r="Q89" s="47"/>
      <c r="R89" s="48"/>
      <c r="S89" s="49"/>
      <c r="U89" s="46"/>
      <c r="V89" s="47"/>
      <c r="W89" s="48"/>
      <c r="X89" s="49"/>
      <c r="Z89" s="50"/>
      <c r="AA89" s="47"/>
      <c r="AB89" s="48"/>
      <c r="AC89" s="51"/>
    </row>
    <row r="90" ht="14.25" hidden="1" customHeight="1">
      <c r="B90" s="9"/>
      <c r="P90" s="147" t="s">
        <v>282</v>
      </c>
      <c r="Q90" s="148" t="s">
        <v>283</v>
      </c>
      <c r="R90" s="59"/>
      <c r="S90" s="60"/>
      <c r="U90" s="147" t="s">
        <v>284</v>
      </c>
      <c r="V90" s="148" t="s">
        <v>285</v>
      </c>
      <c r="W90" s="59"/>
      <c r="X90" s="60"/>
      <c r="Z90" s="149" t="s">
        <v>286</v>
      </c>
      <c r="AA90" s="150" t="s">
        <v>287</v>
      </c>
      <c r="AB90" s="59"/>
      <c r="AC90" s="63"/>
    </row>
    <row r="91" ht="14.25" hidden="1" customHeight="1">
      <c r="B91" s="9"/>
      <c r="P91" s="70"/>
      <c r="Q91" s="153" t="s">
        <v>288</v>
      </c>
      <c r="R91" s="72"/>
      <c r="S91" s="73"/>
      <c r="U91" s="70"/>
      <c r="V91" s="153" t="s">
        <v>289</v>
      </c>
      <c r="W91" s="72"/>
      <c r="X91" s="73"/>
      <c r="Z91" s="74"/>
      <c r="AA91" s="154" t="s">
        <v>290</v>
      </c>
      <c r="AB91" s="76"/>
      <c r="AC91" s="77"/>
      <c r="AE91" s="1" t="s">
        <v>0</v>
      </c>
    </row>
    <row r="92" ht="14.25" hidden="1" customHeight="1">
      <c r="B92" s="9"/>
    </row>
    <row r="93" ht="15.0" customHeight="1">
      <c r="P93" s="87">
        <v>140.0</v>
      </c>
      <c r="Q93" s="16" t="s">
        <v>291</v>
      </c>
      <c r="R93" s="17"/>
      <c r="S93" s="18"/>
      <c r="U93" s="87">
        <v>130.0</v>
      </c>
      <c r="V93" s="16"/>
      <c r="W93" s="17"/>
      <c r="X93" s="18"/>
      <c r="Z93" s="158">
        <v>120.0</v>
      </c>
      <c r="AA93" s="21" t="s">
        <v>292</v>
      </c>
      <c r="AB93" s="22"/>
      <c r="AC93" s="23"/>
      <c r="AE93" s="24">
        <v>110.0</v>
      </c>
      <c r="AF93" s="25"/>
      <c r="AG93" s="26"/>
      <c r="AH93" s="27"/>
    </row>
    <row r="94" ht="15.0" customHeight="1">
      <c r="P94" s="31" t="s">
        <v>81</v>
      </c>
      <c r="Q94" s="32" t="s">
        <v>293</v>
      </c>
      <c r="R94" s="3"/>
      <c r="S94" s="33"/>
      <c r="U94" s="31" t="s">
        <v>81</v>
      </c>
      <c r="V94" s="32"/>
      <c r="W94" s="3"/>
      <c r="X94" s="33"/>
      <c r="Z94" s="34" t="s">
        <v>81</v>
      </c>
      <c r="AA94" s="35" t="s">
        <v>294</v>
      </c>
      <c r="AB94" s="3"/>
      <c r="AC94" s="36"/>
      <c r="AE94" s="37" t="s">
        <v>81</v>
      </c>
      <c r="AF94" s="38"/>
      <c r="AG94" s="3"/>
      <c r="AH94" s="39"/>
    </row>
    <row r="95" ht="15.0" customHeight="1">
      <c r="O95" s="1" t="s">
        <v>295</v>
      </c>
      <c r="P95" s="46"/>
      <c r="Q95" s="47"/>
      <c r="R95" s="48"/>
      <c r="S95" s="49"/>
      <c r="U95" s="46"/>
      <c r="V95" s="47"/>
      <c r="W95" s="48"/>
      <c r="X95" s="49"/>
      <c r="Z95" s="50"/>
      <c r="AA95" s="47"/>
      <c r="AB95" s="48"/>
      <c r="AC95" s="51"/>
      <c r="AE95" s="52"/>
      <c r="AF95" s="47"/>
      <c r="AG95" s="48"/>
      <c r="AH95" s="53"/>
    </row>
    <row r="96" ht="14.25" customHeight="1">
      <c r="O96" s="1" t="s">
        <v>296</v>
      </c>
      <c r="P96" s="57" t="s">
        <v>297</v>
      </c>
      <c r="Q96" s="58" t="s">
        <v>298</v>
      </c>
      <c r="R96" s="59"/>
      <c r="S96" s="60"/>
      <c r="U96" s="57" t="s">
        <v>24</v>
      </c>
      <c r="V96" s="58" t="s">
        <v>299</v>
      </c>
      <c r="W96" s="59"/>
      <c r="X96" s="60"/>
      <c r="Z96" s="61" t="s">
        <v>300</v>
      </c>
      <c r="AA96" s="62" t="s">
        <v>301</v>
      </c>
      <c r="AB96" s="59"/>
      <c r="AC96" s="63"/>
      <c r="AE96" s="64" t="s">
        <v>302</v>
      </c>
      <c r="AF96" s="65" t="s">
        <v>303</v>
      </c>
      <c r="AG96" s="59"/>
      <c r="AH96" s="66"/>
    </row>
    <row r="97" ht="14.25" customHeight="1">
      <c r="P97" s="70"/>
      <c r="Q97" s="71" t="s">
        <v>304</v>
      </c>
      <c r="R97" s="72"/>
      <c r="S97" s="73"/>
      <c r="U97" s="70"/>
      <c r="V97" s="71" t="s">
        <v>305</v>
      </c>
      <c r="W97" s="72"/>
      <c r="X97" s="73"/>
      <c r="Z97" s="74"/>
      <c r="AA97" s="75" t="s">
        <v>306</v>
      </c>
      <c r="AB97" s="76"/>
      <c r="AC97" s="77"/>
      <c r="AD97" s="78"/>
      <c r="AE97" s="79"/>
      <c r="AF97" s="80" t="s">
        <v>307</v>
      </c>
      <c r="AG97" s="81"/>
      <c r="AH97" s="82"/>
    </row>
    <row r="98" ht="14.25" customHeight="1"/>
    <row r="99" ht="15.0" customHeight="1">
      <c r="P99" s="87">
        <v>140.0</v>
      </c>
      <c r="Q99" s="16" t="s">
        <v>308</v>
      </c>
      <c r="R99" s="17"/>
      <c r="S99" s="18"/>
      <c r="U99" s="19">
        <v>130.0</v>
      </c>
      <c r="V99" s="16"/>
      <c r="W99" s="17"/>
      <c r="X99" s="18"/>
      <c r="Z99" s="159">
        <v>120.0</v>
      </c>
      <c r="AA99" s="88" t="s">
        <v>309</v>
      </c>
      <c r="AB99" s="22"/>
      <c r="AC99" s="23"/>
      <c r="AE99" s="24">
        <v>110.0</v>
      </c>
      <c r="AF99" s="25"/>
      <c r="AG99" s="26"/>
      <c r="AH99" s="27"/>
      <c r="AJ99" s="160" t="s">
        <v>310</v>
      </c>
      <c r="AK99" s="56"/>
      <c r="AL99" s="161" t="s">
        <v>311</v>
      </c>
      <c r="AM99" s="56"/>
      <c r="AN99" s="162" t="s">
        <v>312</v>
      </c>
      <c r="AO99" s="56"/>
      <c r="AP99" s="163" t="s">
        <v>313</v>
      </c>
    </row>
    <row r="100" ht="14.25" customHeight="1">
      <c r="P100" s="31" t="s">
        <v>81</v>
      </c>
      <c r="Q100" s="32" t="s">
        <v>314</v>
      </c>
      <c r="R100" s="3"/>
      <c r="S100" s="33"/>
      <c r="U100" s="31" t="s">
        <v>81</v>
      </c>
      <c r="V100" s="32"/>
      <c r="W100" s="3"/>
      <c r="X100" s="33"/>
      <c r="Z100" s="34" t="s">
        <v>81</v>
      </c>
      <c r="AA100" s="35" t="s">
        <v>315</v>
      </c>
      <c r="AB100" s="3"/>
      <c r="AC100" s="36"/>
      <c r="AE100" s="37" t="s">
        <v>81</v>
      </c>
      <c r="AF100" s="38"/>
      <c r="AG100" s="3"/>
      <c r="AH100" s="39"/>
      <c r="AJ100" s="164" t="s">
        <v>316</v>
      </c>
      <c r="AK100" s="69"/>
      <c r="AL100" s="165" t="s">
        <v>317</v>
      </c>
      <c r="AM100" s="45"/>
      <c r="AN100" s="166" t="s">
        <v>318</v>
      </c>
      <c r="AO100" s="45"/>
      <c r="AP100" s="163"/>
    </row>
    <row r="101" ht="15.0" customHeight="1">
      <c r="O101" s="1" t="s">
        <v>319</v>
      </c>
      <c r="P101" s="46"/>
      <c r="Q101" s="47"/>
      <c r="R101" s="48"/>
      <c r="S101" s="49"/>
      <c r="U101" s="46"/>
      <c r="V101" s="47"/>
      <c r="W101" s="48"/>
      <c r="X101" s="49"/>
      <c r="Z101" s="50"/>
      <c r="AA101" s="47"/>
      <c r="AB101" s="48"/>
      <c r="AC101" s="51"/>
      <c r="AE101" s="52"/>
      <c r="AF101" s="47"/>
      <c r="AG101" s="48"/>
      <c r="AH101" s="53"/>
      <c r="AJ101" s="167" t="s">
        <v>319</v>
      </c>
      <c r="AK101" s="56"/>
      <c r="AL101" s="167" t="s">
        <v>320</v>
      </c>
      <c r="AM101" s="56"/>
      <c r="AN101" s="161" t="s">
        <v>321</v>
      </c>
      <c r="AO101" s="56"/>
      <c r="AP101" s="1" t="s">
        <v>322</v>
      </c>
    </row>
    <row r="102" ht="15.0" customHeight="1">
      <c r="O102" s="1" t="s">
        <v>320</v>
      </c>
      <c r="P102" s="57" t="s">
        <v>323</v>
      </c>
      <c r="Q102" s="58" t="s">
        <v>324</v>
      </c>
      <c r="R102" s="59"/>
      <c r="S102" s="60"/>
      <c r="U102" s="57" t="s">
        <v>24</v>
      </c>
      <c r="V102" s="58" t="s">
        <v>325</v>
      </c>
      <c r="W102" s="59"/>
      <c r="X102" s="60"/>
      <c r="Z102" s="61" t="s">
        <v>326</v>
      </c>
      <c r="AA102" s="62" t="s">
        <v>327</v>
      </c>
      <c r="AB102" s="59"/>
      <c r="AC102" s="63"/>
      <c r="AE102" s="64" t="s">
        <v>328</v>
      </c>
      <c r="AF102" s="65" t="s">
        <v>329</v>
      </c>
      <c r="AG102" s="59"/>
      <c r="AH102" s="66"/>
      <c r="AJ102" s="168" t="s">
        <v>330</v>
      </c>
      <c r="AK102" s="45"/>
      <c r="AL102" s="168" t="s">
        <v>331</v>
      </c>
      <c r="AM102" s="45"/>
      <c r="AN102" s="165" t="s">
        <v>332</v>
      </c>
      <c r="AO102" s="45"/>
    </row>
    <row r="103" ht="14.25" customHeight="1">
      <c r="P103" s="70"/>
      <c r="Q103" s="71" t="s">
        <v>333</v>
      </c>
      <c r="R103" s="72"/>
      <c r="S103" s="73"/>
      <c r="U103" s="70"/>
      <c r="V103" s="71" t="s">
        <v>334</v>
      </c>
      <c r="W103" s="72"/>
      <c r="X103" s="73"/>
      <c r="Z103" s="74"/>
      <c r="AA103" s="75" t="s">
        <v>335</v>
      </c>
      <c r="AB103" s="76"/>
      <c r="AC103" s="77"/>
      <c r="AE103" s="79"/>
      <c r="AF103" s="80" t="s">
        <v>336</v>
      </c>
      <c r="AG103" s="81"/>
      <c r="AH103" s="82"/>
      <c r="AJ103" s="13" t="s">
        <v>337</v>
      </c>
      <c r="AK103" s="14"/>
      <c r="AL103" s="135" t="s">
        <v>338</v>
      </c>
      <c r="AM103" s="14"/>
      <c r="AN103" s="162" t="s">
        <v>339</v>
      </c>
      <c r="AO103" s="56"/>
      <c r="AP103" s="1" t="s">
        <v>340</v>
      </c>
    </row>
    <row r="104" ht="15.0" customHeight="1">
      <c r="AD104" s="78"/>
      <c r="AJ104" s="29" t="s">
        <v>341</v>
      </c>
      <c r="AK104" s="30"/>
      <c r="AL104" s="40" t="s">
        <v>342</v>
      </c>
      <c r="AM104" s="42"/>
      <c r="AN104" s="166" t="s">
        <v>343</v>
      </c>
      <c r="AO104" s="45"/>
    </row>
    <row r="105" ht="15.0" customHeight="1">
      <c r="P105" s="87">
        <v>140.0</v>
      </c>
      <c r="Q105" s="16" t="s">
        <v>344</v>
      </c>
      <c r="R105" s="17"/>
      <c r="S105" s="18"/>
      <c r="U105" s="19">
        <v>130.0</v>
      </c>
      <c r="V105" s="16"/>
      <c r="W105" s="17"/>
      <c r="X105" s="18"/>
      <c r="Z105" s="159">
        <v>120.0</v>
      </c>
      <c r="AA105" s="88"/>
      <c r="AB105" s="22"/>
      <c r="AC105" s="23"/>
      <c r="AD105" s="78"/>
      <c r="AE105" s="24">
        <v>110.0</v>
      </c>
      <c r="AF105" s="25"/>
      <c r="AG105" s="26"/>
      <c r="AH105" s="27"/>
    </row>
    <row r="106" ht="14.25" customHeight="1">
      <c r="O106" s="1" t="s">
        <v>345</v>
      </c>
      <c r="P106" s="31" t="s">
        <v>81</v>
      </c>
      <c r="Q106" s="32" t="s">
        <v>346</v>
      </c>
      <c r="R106" s="3"/>
      <c r="S106" s="33"/>
      <c r="U106" s="31" t="s">
        <v>81</v>
      </c>
      <c r="V106" s="32"/>
      <c r="W106" s="3"/>
      <c r="X106" s="33"/>
      <c r="Z106" s="34" t="s">
        <v>81</v>
      </c>
      <c r="AA106" s="35"/>
      <c r="AB106" s="3"/>
      <c r="AC106" s="36"/>
      <c r="AE106" s="37" t="s">
        <v>81</v>
      </c>
      <c r="AF106" s="38"/>
      <c r="AG106" s="3"/>
      <c r="AH106" s="39"/>
    </row>
    <row r="107" ht="14.25" customHeight="1">
      <c r="O107" s="1" t="s">
        <v>347</v>
      </c>
      <c r="P107" s="46"/>
      <c r="Q107" s="47"/>
      <c r="R107" s="48"/>
      <c r="S107" s="49"/>
      <c r="U107" s="46"/>
      <c r="V107" s="47"/>
      <c r="W107" s="48"/>
      <c r="X107" s="49"/>
      <c r="Z107" s="50"/>
      <c r="AA107" s="47"/>
      <c r="AB107" s="48"/>
      <c r="AC107" s="51"/>
      <c r="AE107" s="52"/>
      <c r="AF107" s="47"/>
      <c r="AG107" s="48"/>
      <c r="AH107" s="53"/>
    </row>
    <row r="108" ht="14.25" customHeight="1">
      <c r="P108" s="57" t="s">
        <v>348</v>
      </c>
      <c r="Q108" s="58" t="s">
        <v>349</v>
      </c>
      <c r="R108" s="59"/>
      <c r="S108" s="60"/>
      <c r="U108" s="57" t="s">
        <v>24</v>
      </c>
      <c r="V108" s="58" t="s">
        <v>350</v>
      </c>
      <c r="W108" s="59"/>
      <c r="X108" s="60"/>
      <c r="Z108" s="61" t="s">
        <v>351</v>
      </c>
      <c r="AA108" s="62" t="s">
        <v>352</v>
      </c>
      <c r="AB108" s="59"/>
      <c r="AC108" s="63"/>
      <c r="AD108" s="78"/>
      <c r="AE108" s="64" t="s">
        <v>353</v>
      </c>
      <c r="AF108" s="65" t="s">
        <v>354</v>
      </c>
      <c r="AG108" s="59"/>
      <c r="AH108" s="66"/>
    </row>
    <row r="109" ht="14.25" customHeight="1">
      <c r="P109" s="70"/>
      <c r="Q109" s="71" t="s">
        <v>355</v>
      </c>
      <c r="R109" s="72"/>
      <c r="S109" s="73"/>
      <c r="U109" s="70"/>
      <c r="V109" s="71" t="s">
        <v>356</v>
      </c>
      <c r="W109" s="72"/>
      <c r="X109" s="73"/>
      <c r="Z109" s="74"/>
      <c r="AA109" s="75" t="s">
        <v>357</v>
      </c>
      <c r="AB109" s="76"/>
      <c r="AC109" s="77"/>
      <c r="AE109" s="79"/>
      <c r="AF109" s="80" t="s">
        <v>358</v>
      </c>
      <c r="AG109" s="81"/>
      <c r="AH109" s="82"/>
    </row>
    <row r="110" ht="14.25" customHeight="1"/>
    <row r="111" ht="15.0" customHeight="1">
      <c r="P111" s="87">
        <v>140.0</v>
      </c>
      <c r="Q111" s="16"/>
      <c r="R111" s="17"/>
      <c r="S111" s="18"/>
      <c r="U111" s="87">
        <v>130.0</v>
      </c>
      <c r="V111" s="16"/>
      <c r="W111" s="17"/>
      <c r="X111" s="18"/>
      <c r="Z111" s="158">
        <v>120.0</v>
      </c>
      <c r="AA111" s="21"/>
      <c r="AB111" s="22"/>
      <c r="AC111" s="23"/>
      <c r="AE111" s="24">
        <v>110.0</v>
      </c>
      <c r="AF111" s="25"/>
      <c r="AG111" s="26"/>
      <c r="AH111" s="27"/>
    </row>
    <row r="112" ht="14.25" customHeight="1">
      <c r="O112" s="1" t="s">
        <v>359</v>
      </c>
      <c r="P112" s="31" t="s">
        <v>81</v>
      </c>
      <c r="Q112" s="32"/>
      <c r="R112" s="3"/>
      <c r="S112" s="33"/>
      <c r="U112" s="31" t="s">
        <v>81</v>
      </c>
      <c r="V112" s="32"/>
      <c r="W112" s="3"/>
      <c r="X112" s="33"/>
      <c r="Z112" s="34" t="s">
        <v>81</v>
      </c>
      <c r="AA112" s="35"/>
      <c r="AB112" s="3"/>
      <c r="AC112" s="36"/>
      <c r="AE112" s="37" t="s">
        <v>81</v>
      </c>
      <c r="AF112" s="38"/>
      <c r="AG112" s="3"/>
      <c r="AH112" s="39"/>
    </row>
    <row r="113" ht="14.25" customHeight="1">
      <c r="P113" s="46"/>
      <c r="Q113" s="47"/>
      <c r="R113" s="48"/>
      <c r="S113" s="49"/>
      <c r="U113" s="46"/>
      <c r="V113" s="47"/>
      <c r="W113" s="48"/>
      <c r="X113" s="49"/>
      <c r="Z113" s="50"/>
      <c r="AA113" s="47"/>
      <c r="AB113" s="48"/>
      <c r="AC113" s="51"/>
      <c r="AE113" s="52"/>
      <c r="AF113" s="47"/>
      <c r="AG113" s="48"/>
      <c r="AH113" s="53"/>
    </row>
    <row r="114" ht="14.25" customHeight="1">
      <c r="P114" s="57" t="s">
        <v>360</v>
      </c>
      <c r="Q114" s="58" t="s">
        <v>361</v>
      </c>
      <c r="R114" s="59"/>
      <c r="S114" s="60"/>
      <c r="U114" s="57" t="s">
        <v>24</v>
      </c>
      <c r="V114" s="58" t="s">
        <v>362</v>
      </c>
      <c r="W114" s="59"/>
      <c r="X114" s="60"/>
      <c r="Z114" s="61" t="s">
        <v>363</v>
      </c>
      <c r="AA114" s="62" t="s">
        <v>364</v>
      </c>
      <c r="AB114" s="59"/>
      <c r="AC114" s="63"/>
      <c r="AE114" s="64" t="s">
        <v>365</v>
      </c>
      <c r="AF114" s="65" t="s">
        <v>366</v>
      </c>
      <c r="AG114" s="59"/>
      <c r="AH114" s="66"/>
    </row>
    <row r="115" ht="14.25" customHeight="1">
      <c r="P115" s="70"/>
      <c r="Q115" s="71" t="s">
        <v>367</v>
      </c>
      <c r="R115" s="72"/>
      <c r="S115" s="73"/>
      <c r="U115" s="70"/>
      <c r="V115" s="71" t="s">
        <v>368</v>
      </c>
      <c r="W115" s="72"/>
      <c r="X115" s="73"/>
      <c r="Z115" s="74"/>
      <c r="AA115" s="75" t="s">
        <v>369</v>
      </c>
      <c r="AB115" s="76"/>
      <c r="AC115" s="77"/>
      <c r="AE115" s="79"/>
      <c r="AF115" s="80" t="s">
        <v>370</v>
      </c>
      <c r="AG115" s="81"/>
      <c r="AH115" s="82"/>
    </row>
    <row r="116" ht="14.25" customHeight="1"/>
    <row r="117" ht="15.0" customHeight="1">
      <c r="P117" s="87">
        <v>140.0</v>
      </c>
      <c r="Q117" s="16"/>
      <c r="R117" s="17"/>
      <c r="S117" s="18"/>
      <c r="U117" s="19">
        <v>130.0</v>
      </c>
      <c r="V117" s="16"/>
      <c r="W117" s="17"/>
      <c r="X117" s="18"/>
      <c r="Z117" s="159">
        <v>120.0</v>
      </c>
      <c r="AA117" s="88"/>
      <c r="AB117" s="22"/>
      <c r="AC117" s="23"/>
      <c r="AE117" s="24">
        <v>110.0</v>
      </c>
      <c r="AF117" s="25"/>
      <c r="AG117" s="26"/>
      <c r="AH117" s="27"/>
    </row>
    <row r="118" ht="14.25" customHeight="1">
      <c r="O118" s="1" t="s">
        <v>371</v>
      </c>
      <c r="P118" s="31" t="s">
        <v>81</v>
      </c>
      <c r="Q118" s="32"/>
      <c r="R118" s="3"/>
      <c r="S118" s="33"/>
      <c r="U118" s="31" t="s">
        <v>81</v>
      </c>
      <c r="V118" s="32"/>
      <c r="W118" s="3"/>
      <c r="X118" s="33"/>
      <c r="Z118" s="34" t="s">
        <v>81</v>
      </c>
      <c r="AA118" s="35"/>
      <c r="AB118" s="3"/>
      <c r="AC118" s="36"/>
      <c r="AE118" s="37" t="s">
        <v>81</v>
      </c>
      <c r="AF118" s="38"/>
      <c r="AG118" s="3"/>
      <c r="AH118" s="39"/>
    </row>
    <row r="119" ht="14.25" customHeight="1">
      <c r="O119" s="1" t="s">
        <v>372</v>
      </c>
      <c r="P119" s="46"/>
      <c r="Q119" s="47"/>
      <c r="R119" s="48"/>
      <c r="S119" s="49"/>
      <c r="U119" s="46"/>
      <c r="V119" s="47"/>
      <c r="W119" s="48"/>
      <c r="X119" s="49"/>
      <c r="Z119" s="50"/>
      <c r="AA119" s="47"/>
      <c r="AB119" s="48"/>
      <c r="AC119" s="51"/>
      <c r="AE119" s="52"/>
      <c r="AF119" s="47"/>
      <c r="AG119" s="48"/>
      <c r="AH119" s="53"/>
    </row>
    <row r="120" ht="14.25" customHeight="1">
      <c r="P120" s="57" t="s">
        <v>373</v>
      </c>
      <c r="Q120" s="58" t="s">
        <v>374</v>
      </c>
      <c r="R120" s="59"/>
      <c r="S120" s="60"/>
      <c r="U120" s="57" t="s">
        <v>24</v>
      </c>
      <c r="V120" s="58" t="s">
        <v>375</v>
      </c>
      <c r="W120" s="59"/>
      <c r="X120" s="60"/>
      <c r="Z120" s="61" t="s">
        <v>376</v>
      </c>
      <c r="AA120" s="62" t="s">
        <v>377</v>
      </c>
      <c r="AB120" s="59"/>
      <c r="AC120" s="63"/>
      <c r="AE120" s="64" t="s">
        <v>378</v>
      </c>
      <c r="AF120" s="65" t="s">
        <v>379</v>
      </c>
      <c r="AG120" s="59"/>
      <c r="AH120" s="66"/>
    </row>
    <row r="121" ht="14.25" customHeight="1">
      <c r="P121" s="70"/>
      <c r="Q121" s="71" t="s">
        <v>380</v>
      </c>
      <c r="R121" s="72"/>
      <c r="S121" s="73"/>
      <c r="U121" s="70"/>
      <c r="V121" s="71" t="s">
        <v>381</v>
      </c>
      <c r="W121" s="72"/>
      <c r="X121" s="73"/>
      <c r="Z121" s="74"/>
      <c r="AA121" s="75" t="s">
        <v>382</v>
      </c>
      <c r="AB121" s="76"/>
      <c r="AC121" s="77"/>
      <c r="AE121" s="79"/>
      <c r="AF121" s="80" t="s">
        <v>383</v>
      </c>
      <c r="AG121" s="81"/>
      <c r="AH121" s="82"/>
    </row>
    <row r="122" ht="14.25" customHeight="1"/>
    <row r="123" ht="15.0" customHeight="1">
      <c r="P123" s="87">
        <v>140.0</v>
      </c>
      <c r="Q123" s="16"/>
      <c r="R123" s="17"/>
      <c r="S123" s="18"/>
      <c r="U123" s="19">
        <v>130.0</v>
      </c>
      <c r="V123" s="16"/>
      <c r="W123" s="17"/>
      <c r="X123" s="18"/>
      <c r="Z123" s="159">
        <v>120.0</v>
      </c>
      <c r="AA123" s="88" t="s">
        <v>384</v>
      </c>
      <c r="AB123" s="22"/>
      <c r="AC123" s="23"/>
      <c r="AE123" s="24">
        <v>110.0</v>
      </c>
      <c r="AF123" s="25"/>
      <c r="AG123" s="26"/>
      <c r="AH123" s="27"/>
    </row>
    <row r="124" ht="14.25" customHeight="1">
      <c r="O124" s="1" t="s">
        <v>385</v>
      </c>
      <c r="P124" s="31" t="s">
        <v>81</v>
      </c>
      <c r="Q124" s="32"/>
      <c r="R124" s="3"/>
      <c r="S124" s="33"/>
      <c r="U124" s="31" t="s">
        <v>81</v>
      </c>
      <c r="V124" s="32"/>
      <c r="W124" s="3"/>
      <c r="X124" s="33"/>
      <c r="Z124" s="34" t="s">
        <v>81</v>
      </c>
      <c r="AA124" s="35"/>
      <c r="AB124" s="3"/>
      <c r="AC124" s="36"/>
      <c r="AE124" s="37" t="s">
        <v>81</v>
      </c>
      <c r="AF124" s="38"/>
      <c r="AG124" s="3"/>
      <c r="AH124" s="39"/>
    </row>
    <row r="125" ht="14.25" customHeight="1">
      <c r="O125" s="1" t="s">
        <v>386</v>
      </c>
      <c r="P125" s="46"/>
      <c r="Q125" s="47"/>
      <c r="R125" s="48"/>
      <c r="S125" s="49"/>
      <c r="U125" s="46"/>
      <c r="V125" s="47"/>
      <c r="W125" s="48"/>
      <c r="X125" s="49"/>
      <c r="Z125" s="50"/>
      <c r="AA125" s="47"/>
      <c r="AB125" s="48"/>
      <c r="AC125" s="51"/>
      <c r="AE125" s="52"/>
      <c r="AF125" s="47"/>
      <c r="AG125" s="48"/>
      <c r="AH125" s="53"/>
    </row>
    <row r="126" ht="14.25" customHeight="1">
      <c r="P126" s="57" t="s">
        <v>387</v>
      </c>
      <c r="Q126" s="58" t="s">
        <v>388</v>
      </c>
      <c r="R126" s="59"/>
      <c r="S126" s="60"/>
      <c r="U126" s="57" t="s">
        <v>24</v>
      </c>
      <c r="V126" s="58" t="s">
        <v>389</v>
      </c>
      <c r="W126" s="59"/>
      <c r="X126" s="60"/>
      <c r="Z126" s="61" t="s">
        <v>390</v>
      </c>
      <c r="AA126" s="62" t="s">
        <v>391</v>
      </c>
      <c r="AB126" s="59"/>
      <c r="AC126" s="63"/>
      <c r="AE126" s="64" t="s">
        <v>392</v>
      </c>
      <c r="AF126" s="65" t="s">
        <v>393</v>
      </c>
      <c r="AG126" s="59"/>
      <c r="AH126" s="66"/>
    </row>
    <row r="127" ht="14.25" customHeight="1">
      <c r="P127" s="70"/>
      <c r="Q127" s="71" t="s">
        <v>394</v>
      </c>
      <c r="R127" s="72"/>
      <c r="S127" s="73"/>
      <c r="U127" s="70"/>
      <c r="V127" s="71" t="s">
        <v>395</v>
      </c>
      <c r="W127" s="72"/>
      <c r="X127" s="73"/>
      <c r="Z127" s="74"/>
      <c r="AA127" s="75" t="s">
        <v>396</v>
      </c>
      <c r="AB127" s="76"/>
      <c r="AC127" s="77"/>
      <c r="AE127" s="79"/>
      <c r="AF127" s="80" t="s">
        <v>397</v>
      </c>
      <c r="AG127" s="81"/>
      <c r="AH127" s="82"/>
    </row>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53">
    <mergeCell ref="V22:X23"/>
    <mergeCell ref="V24:X24"/>
    <mergeCell ref="V27:X27"/>
    <mergeCell ref="V28:X29"/>
    <mergeCell ref="Z28:Z29"/>
    <mergeCell ref="AA28:AC29"/>
    <mergeCell ref="AE28:AE29"/>
    <mergeCell ref="AF28:AH29"/>
    <mergeCell ref="U28:U29"/>
    <mergeCell ref="U30:U31"/>
    <mergeCell ref="V30:X30"/>
    <mergeCell ref="Z30:Z31"/>
    <mergeCell ref="AE30:AE31"/>
    <mergeCell ref="AF30:AH30"/>
    <mergeCell ref="V31:X31"/>
    <mergeCell ref="AF31:AH31"/>
    <mergeCell ref="V16:X17"/>
    <mergeCell ref="V18:X18"/>
    <mergeCell ref="AA18:AC18"/>
    <mergeCell ref="AE18:AE19"/>
    <mergeCell ref="AF18:AH18"/>
    <mergeCell ref="V19:X19"/>
    <mergeCell ref="AA19:AC19"/>
    <mergeCell ref="AF19:AH19"/>
    <mergeCell ref="P18:P19"/>
    <mergeCell ref="Q19:S19"/>
    <mergeCell ref="Q21:S21"/>
    <mergeCell ref="V21:X21"/>
    <mergeCell ref="AA21:AC21"/>
    <mergeCell ref="AF21:AH21"/>
    <mergeCell ref="M14:N14"/>
    <mergeCell ref="M15:N15"/>
    <mergeCell ref="P16:P17"/>
    <mergeCell ref="U16:U17"/>
    <mergeCell ref="Z16:Z17"/>
    <mergeCell ref="U18:U19"/>
    <mergeCell ref="Z18:Z19"/>
    <mergeCell ref="Q16:S17"/>
    <mergeCell ref="Q18:S18"/>
    <mergeCell ref="P22:P23"/>
    <mergeCell ref="U22:U23"/>
    <mergeCell ref="Z22:Z23"/>
    <mergeCell ref="U24:U25"/>
    <mergeCell ref="Z24:Z25"/>
    <mergeCell ref="V25:X25"/>
    <mergeCell ref="AA30:AC30"/>
    <mergeCell ref="AA31:AC31"/>
    <mergeCell ref="AA33:AC33"/>
    <mergeCell ref="AF33:AH33"/>
    <mergeCell ref="Q31:S31"/>
    <mergeCell ref="Q33:S33"/>
    <mergeCell ref="V33:X33"/>
    <mergeCell ref="P34:P35"/>
    <mergeCell ref="Q34:S35"/>
    <mergeCell ref="U34:U35"/>
    <mergeCell ref="V34:X35"/>
    <mergeCell ref="Z34:Z35"/>
    <mergeCell ref="AA34:AC35"/>
    <mergeCell ref="AE34:AE35"/>
    <mergeCell ref="AF34:AH35"/>
    <mergeCell ref="Q42:S42"/>
    <mergeCell ref="Q43:S43"/>
    <mergeCell ref="Q36:S36"/>
    <mergeCell ref="Q37:S37"/>
    <mergeCell ref="Q39:S39"/>
    <mergeCell ref="V39:X39"/>
    <mergeCell ref="Q40:S41"/>
    <mergeCell ref="V40:X41"/>
    <mergeCell ref="V42:X42"/>
    <mergeCell ref="V43:X43"/>
    <mergeCell ref="Q22:S23"/>
    <mergeCell ref="Q24:S24"/>
    <mergeCell ref="P24:P25"/>
    <mergeCell ref="Q25:S25"/>
    <mergeCell ref="Q27:S27"/>
    <mergeCell ref="P28:P29"/>
    <mergeCell ref="Q28:S29"/>
    <mergeCell ref="P30:P31"/>
    <mergeCell ref="Q30:S30"/>
    <mergeCell ref="P36:P37"/>
    <mergeCell ref="U36:U37"/>
    <mergeCell ref="V36:X36"/>
    <mergeCell ref="Z36:Z37"/>
    <mergeCell ref="AE36:AE37"/>
    <mergeCell ref="AF36:AH36"/>
    <mergeCell ref="V37:X37"/>
    <mergeCell ref="AF37:AH37"/>
    <mergeCell ref="P40:P41"/>
    <mergeCell ref="P42:P43"/>
    <mergeCell ref="U40:U41"/>
    <mergeCell ref="U42:U43"/>
    <mergeCell ref="AA42:AC42"/>
    <mergeCell ref="AE42:AE43"/>
    <mergeCell ref="AA43:AC43"/>
    <mergeCell ref="AA36:AC36"/>
    <mergeCell ref="AA37:AC37"/>
    <mergeCell ref="AA39:AC39"/>
    <mergeCell ref="Z40:Z41"/>
    <mergeCell ref="AA40:AC41"/>
    <mergeCell ref="AF41:AH41"/>
    <mergeCell ref="Z42:Z43"/>
    <mergeCell ref="AF42:AH43"/>
    <mergeCell ref="G46:H46"/>
    <mergeCell ref="J46:K46"/>
    <mergeCell ref="Q46:S47"/>
    <mergeCell ref="U46:U47"/>
    <mergeCell ref="V46:X47"/>
    <mergeCell ref="Z46:Z47"/>
    <mergeCell ref="AA46:AC47"/>
    <mergeCell ref="P46:P47"/>
    <mergeCell ref="P48:P49"/>
    <mergeCell ref="Q48:S48"/>
    <mergeCell ref="U48:U49"/>
    <mergeCell ref="Z48:Z49"/>
    <mergeCell ref="AA48:AC48"/>
    <mergeCell ref="Q49:S49"/>
    <mergeCell ref="AA49:AC49"/>
    <mergeCell ref="M38:N38"/>
    <mergeCell ref="G39:H39"/>
    <mergeCell ref="J39:K39"/>
    <mergeCell ref="M39:N39"/>
    <mergeCell ref="G40:H40"/>
    <mergeCell ref="J40:K40"/>
    <mergeCell ref="M40:N40"/>
    <mergeCell ref="G41:H41"/>
    <mergeCell ref="J41:K41"/>
    <mergeCell ref="M41:N41"/>
    <mergeCell ref="G42:H42"/>
    <mergeCell ref="J42:K42"/>
    <mergeCell ref="M42:N42"/>
    <mergeCell ref="G43:H43"/>
    <mergeCell ref="J43:K43"/>
    <mergeCell ref="M43:N43"/>
    <mergeCell ref="G44:H44"/>
    <mergeCell ref="J44:K44"/>
    <mergeCell ref="V48:X48"/>
    <mergeCell ref="V49:X49"/>
    <mergeCell ref="M52:N52"/>
    <mergeCell ref="G53:H53"/>
    <mergeCell ref="J53:K53"/>
    <mergeCell ref="M53:N53"/>
    <mergeCell ref="G54:H54"/>
    <mergeCell ref="J54:K54"/>
    <mergeCell ref="M54:N54"/>
    <mergeCell ref="G55:H55"/>
    <mergeCell ref="J55:K55"/>
    <mergeCell ref="M55:N55"/>
    <mergeCell ref="G56:H56"/>
    <mergeCell ref="J56:K56"/>
    <mergeCell ref="M56:N56"/>
    <mergeCell ref="G57:H57"/>
    <mergeCell ref="J57:K57"/>
    <mergeCell ref="M57:N57"/>
    <mergeCell ref="G58:H58"/>
    <mergeCell ref="J58:K58"/>
    <mergeCell ref="G60:H60"/>
    <mergeCell ref="J60:K60"/>
    <mergeCell ref="M64:N64"/>
    <mergeCell ref="G65:H65"/>
    <mergeCell ref="J65:K65"/>
    <mergeCell ref="M65:N65"/>
    <mergeCell ref="M75:N75"/>
    <mergeCell ref="M76:N76"/>
    <mergeCell ref="M80:N80"/>
    <mergeCell ref="M81:N81"/>
    <mergeCell ref="F1:H2"/>
    <mergeCell ref="I1:K2"/>
    <mergeCell ref="L1:N2"/>
    <mergeCell ref="C3:C92"/>
    <mergeCell ref="M3:N3"/>
    <mergeCell ref="M4:N4"/>
    <mergeCell ref="J19:K19"/>
    <mergeCell ref="M82:N82"/>
    <mergeCell ref="M58:N58"/>
    <mergeCell ref="G59:H59"/>
    <mergeCell ref="J59:K59"/>
    <mergeCell ref="M59:N59"/>
    <mergeCell ref="M60:N60"/>
    <mergeCell ref="G61:H61"/>
    <mergeCell ref="J61:K61"/>
    <mergeCell ref="M61:N61"/>
    <mergeCell ref="G62:H62"/>
    <mergeCell ref="J62:K62"/>
    <mergeCell ref="M62:N62"/>
    <mergeCell ref="G63:H63"/>
    <mergeCell ref="J63:K63"/>
    <mergeCell ref="M63:N63"/>
    <mergeCell ref="G64:H64"/>
    <mergeCell ref="J64:K64"/>
    <mergeCell ref="M68:N68"/>
    <mergeCell ref="M69:N69"/>
    <mergeCell ref="M70:N70"/>
    <mergeCell ref="M74:N74"/>
    <mergeCell ref="P60:P61"/>
    <mergeCell ref="Q60:S60"/>
    <mergeCell ref="U60:U61"/>
    <mergeCell ref="Q61:S61"/>
    <mergeCell ref="U52:U53"/>
    <mergeCell ref="U54:U55"/>
    <mergeCell ref="P55:P56"/>
    <mergeCell ref="Q55:S55"/>
    <mergeCell ref="Q56:S56"/>
    <mergeCell ref="Q57:S57"/>
    <mergeCell ref="P58:P59"/>
    <mergeCell ref="AA22:AC23"/>
    <mergeCell ref="AE22:AE23"/>
    <mergeCell ref="AF22:AH23"/>
    <mergeCell ref="AA24:AC24"/>
    <mergeCell ref="AE24:AE25"/>
    <mergeCell ref="AF24:AH24"/>
    <mergeCell ref="AF25:AH25"/>
    <mergeCell ref="AF44:AH44"/>
    <mergeCell ref="AF45:AH45"/>
    <mergeCell ref="AF48:AH48"/>
    <mergeCell ref="AE49:AE50"/>
    <mergeCell ref="AF49:AH50"/>
    <mergeCell ref="AE51:AE52"/>
    <mergeCell ref="AF51:AH51"/>
    <mergeCell ref="AF52:AH52"/>
    <mergeCell ref="AA25:AC25"/>
    <mergeCell ref="AA27:AC27"/>
    <mergeCell ref="AF27:AH27"/>
    <mergeCell ref="AE44:AE45"/>
    <mergeCell ref="Q45:S45"/>
    <mergeCell ref="V45:X45"/>
    <mergeCell ref="AA45:AC45"/>
    <mergeCell ref="V54:X54"/>
    <mergeCell ref="V55:X55"/>
    <mergeCell ref="V57:X57"/>
    <mergeCell ref="V60:X60"/>
    <mergeCell ref="V61:X61"/>
    <mergeCell ref="Q51:S51"/>
    <mergeCell ref="V51:X51"/>
    <mergeCell ref="AA51:AC51"/>
    <mergeCell ref="P52:P53"/>
    <mergeCell ref="Q52:S53"/>
    <mergeCell ref="V52:X53"/>
    <mergeCell ref="Q54:S54"/>
    <mergeCell ref="Q58:S59"/>
    <mergeCell ref="U58:U59"/>
    <mergeCell ref="V58:X59"/>
    <mergeCell ref="Z58:Z59"/>
    <mergeCell ref="AA58:AC59"/>
    <mergeCell ref="AF59:AH59"/>
    <mergeCell ref="Z52:Z53"/>
    <mergeCell ref="AA52:AC53"/>
    <mergeCell ref="Z54:Z55"/>
    <mergeCell ref="AA54:AC54"/>
    <mergeCell ref="AA55:AC55"/>
    <mergeCell ref="AA57:AC57"/>
    <mergeCell ref="Z60:Z61"/>
    <mergeCell ref="V10:X11"/>
    <mergeCell ref="Z10:Z11"/>
    <mergeCell ref="AA10:AC11"/>
    <mergeCell ref="AE10:AE11"/>
    <mergeCell ref="AF10:AH11"/>
    <mergeCell ref="Q12:S12"/>
    <mergeCell ref="Q13:S13"/>
    <mergeCell ref="Q15:S15"/>
    <mergeCell ref="V15:X15"/>
    <mergeCell ref="AA15:AC15"/>
    <mergeCell ref="V6:X6"/>
    <mergeCell ref="V7:X7"/>
    <mergeCell ref="Q9:S9"/>
    <mergeCell ref="V9:X9"/>
    <mergeCell ref="P10:P11"/>
    <mergeCell ref="Q10:S11"/>
    <mergeCell ref="V12:X12"/>
    <mergeCell ref="AF12:AH12"/>
    <mergeCell ref="AF13:AH13"/>
    <mergeCell ref="AF15:AH15"/>
    <mergeCell ref="U10:U11"/>
    <mergeCell ref="U12:U13"/>
    <mergeCell ref="Z12:Z13"/>
    <mergeCell ref="AA12:AC12"/>
    <mergeCell ref="AE12:AE13"/>
    <mergeCell ref="V13:X13"/>
    <mergeCell ref="AA13:AC13"/>
    <mergeCell ref="Q3:S3"/>
    <mergeCell ref="V3:X3"/>
    <mergeCell ref="AA3:AC3"/>
    <mergeCell ref="AF3:AH3"/>
    <mergeCell ref="AA4:AC5"/>
    <mergeCell ref="AE4:AE5"/>
    <mergeCell ref="AF4:AH5"/>
    <mergeCell ref="G4:H4"/>
    <mergeCell ref="G5:H5"/>
    <mergeCell ref="J5:K5"/>
    <mergeCell ref="M5:N5"/>
    <mergeCell ref="J3:K3"/>
    <mergeCell ref="J4:K4"/>
    <mergeCell ref="P4:P5"/>
    <mergeCell ref="Q4:S5"/>
    <mergeCell ref="U4:U5"/>
    <mergeCell ref="V4:X5"/>
    <mergeCell ref="Z4:Z5"/>
    <mergeCell ref="AA6:AC6"/>
    <mergeCell ref="AE6:AE7"/>
    <mergeCell ref="AF6:AH6"/>
    <mergeCell ref="AA7:AC7"/>
    <mergeCell ref="AF7:AH7"/>
    <mergeCell ref="AA9:AC9"/>
    <mergeCell ref="AF9:AH9"/>
    <mergeCell ref="G6:H6"/>
    <mergeCell ref="J6:K6"/>
    <mergeCell ref="P6:P7"/>
    <mergeCell ref="Q6:S6"/>
    <mergeCell ref="U6:U7"/>
    <mergeCell ref="Z6:Z7"/>
    <mergeCell ref="Q7:S7"/>
    <mergeCell ref="M6:N6"/>
    <mergeCell ref="M7:N7"/>
    <mergeCell ref="J7:K7"/>
    <mergeCell ref="J8:K8"/>
    <mergeCell ref="G8:H8"/>
    <mergeCell ref="G9:H9"/>
    <mergeCell ref="M8:N8"/>
    <mergeCell ref="M9:N9"/>
    <mergeCell ref="J9:K9"/>
    <mergeCell ref="J10:K10"/>
    <mergeCell ref="G10:H10"/>
    <mergeCell ref="G11:H11"/>
    <mergeCell ref="M10:N10"/>
    <mergeCell ref="M11:N11"/>
    <mergeCell ref="P12:P13"/>
    <mergeCell ref="J11:K11"/>
    <mergeCell ref="J12:K12"/>
    <mergeCell ref="G12:H12"/>
    <mergeCell ref="G13:H13"/>
    <mergeCell ref="M12:N12"/>
    <mergeCell ref="M13:N13"/>
    <mergeCell ref="J13:K13"/>
    <mergeCell ref="J14:K14"/>
    <mergeCell ref="G14:H14"/>
    <mergeCell ref="G15:H15"/>
    <mergeCell ref="J15:K15"/>
    <mergeCell ref="J16:K16"/>
    <mergeCell ref="AA16:AC17"/>
    <mergeCell ref="AE16:AE17"/>
    <mergeCell ref="AF16:AH17"/>
    <mergeCell ref="G3:H3"/>
    <mergeCell ref="G7:H7"/>
    <mergeCell ref="G16:H16"/>
    <mergeCell ref="G17:H17"/>
    <mergeCell ref="M16:N16"/>
    <mergeCell ref="M17:N17"/>
    <mergeCell ref="J17:K17"/>
    <mergeCell ref="J18:K18"/>
    <mergeCell ref="G18:H18"/>
    <mergeCell ref="G19:H19"/>
    <mergeCell ref="M18:N18"/>
    <mergeCell ref="M19:N19"/>
    <mergeCell ref="G38:H38"/>
    <mergeCell ref="J38:K38"/>
    <mergeCell ref="M44:N44"/>
    <mergeCell ref="G45:H45"/>
    <mergeCell ref="J45:K45"/>
    <mergeCell ref="M45:N45"/>
    <mergeCell ref="M46:N46"/>
    <mergeCell ref="G47:H47"/>
    <mergeCell ref="J47:K47"/>
    <mergeCell ref="M47:N47"/>
    <mergeCell ref="G48:H48"/>
    <mergeCell ref="J48:K48"/>
    <mergeCell ref="M48:N48"/>
    <mergeCell ref="G49:H49"/>
    <mergeCell ref="J49:K49"/>
    <mergeCell ref="M49:N49"/>
    <mergeCell ref="G50:H50"/>
    <mergeCell ref="J50:K50"/>
    <mergeCell ref="M50:N50"/>
    <mergeCell ref="G51:H51"/>
    <mergeCell ref="J51:K51"/>
    <mergeCell ref="M51:N51"/>
    <mergeCell ref="G52:H52"/>
    <mergeCell ref="J52:K52"/>
    <mergeCell ref="Q70:S71"/>
    <mergeCell ref="Q72:S72"/>
    <mergeCell ref="Q75:S75"/>
    <mergeCell ref="P76:P77"/>
    <mergeCell ref="U76:U77"/>
    <mergeCell ref="P78:P79"/>
    <mergeCell ref="U78:U79"/>
    <mergeCell ref="Q79:S79"/>
    <mergeCell ref="Q76:S77"/>
    <mergeCell ref="Q78:S78"/>
    <mergeCell ref="Q81:S81"/>
    <mergeCell ref="P82:P83"/>
    <mergeCell ref="Q82:S83"/>
    <mergeCell ref="P84:P85"/>
    <mergeCell ref="Q84:S84"/>
    <mergeCell ref="Q94:S95"/>
    <mergeCell ref="Q96:S96"/>
    <mergeCell ref="V94:X95"/>
    <mergeCell ref="V96:X96"/>
    <mergeCell ref="V99:X99"/>
    <mergeCell ref="V100:X101"/>
    <mergeCell ref="V102:X102"/>
    <mergeCell ref="V103:X103"/>
    <mergeCell ref="V105:X105"/>
    <mergeCell ref="P94:P95"/>
    <mergeCell ref="U94:U95"/>
    <mergeCell ref="Z94:Z95"/>
    <mergeCell ref="AE94:AE95"/>
    <mergeCell ref="U96:U97"/>
    <mergeCell ref="Z96:Z97"/>
    <mergeCell ref="AE96:AE97"/>
    <mergeCell ref="V97:X97"/>
    <mergeCell ref="AA97:AC97"/>
    <mergeCell ref="AJ99:AK99"/>
    <mergeCell ref="AL99:AM99"/>
    <mergeCell ref="AN99:AO99"/>
    <mergeCell ref="AL100:AM100"/>
    <mergeCell ref="AN100:AO100"/>
    <mergeCell ref="U100:U101"/>
    <mergeCell ref="U102:U103"/>
    <mergeCell ref="AJ103:AK103"/>
    <mergeCell ref="AL103:AM103"/>
    <mergeCell ref="AN103:AO103"/>
    <mergeCell ref="AJ104:AK104"/>
    <mergeCell ref="AL104:AM104"/>
    <mergeCell ref="AN104:AO104"/>
    <mergeCell ref="AA105:AC105"/>
    <mergeCell ref="AF105:AH105"/>
    <mergeCell ref="AJ100:AK100"/>
    <mergeCell ref="AJ101:AK101"/>
    <mergeCell ref="AL101:AM101"/>
    <mergeCell ref="AN101:AO101"/>
    <mergeCell ref="AJ102:AK102"/>
    <mergeCell ref="AL102:AM102"/>
    <mergeCell ref="AN102:AO102"/>
    <mergeCell ref="AA120:AC120"/>
    <mergeCell ref="AA121:AC121"/>
    <mergeCell ref="P120:P121"/>
    <mergeCell ref="U120:U121"/>
    <mergeCell ref="V120:X120"/>
    <mergeCell ref="Z120:Z121"/>
    <mergeCell ref="AE120:AE121"/>
    <mergeCell ref="AF120:AH120"/>
    <mergeCell ref="V121:X121"/>
    <mergeCell ref="AF121:AH121"/>
    <mergeCell ref="V124:X125"/>
    <mergeCell ref="Z124:Z125"/>
    <mergeCell ref="AA124:AC125"/>
    <mergeCell ref="AE124:AE125"/>
    <mergeCell ref="Q120:S120"/>
    <mergeCell ref="Q121:S121"/>
    <mergeCell ref="Q123:S123"/>
    <mergeCell ref="V123:X123"/>
    <mergeCell ref="AA123:AC123"/>
    <mergeCell ref="AF123:AH123"/>
    <mergeCell ref="P124:P125"/>
    <mergeCell ref="AF124:AH125"/>
    <mergeCell ref="V126:X126"/>
    <mergeCell ref="V127:X127"/>
    <mergeCell ref="Q124:S125"/>
    <mergeCell ref="U124:U125"/>
    <mergeCell ref="P126:P127"/>
    <mergeCell ref="Q126:S126"/>
    <mergeCell ref="U126:U127"/>
    <mergeCell ref="Z126:Z127"/>
    <mergeCell ref="Q127:S127"/>
    <mergeCell ref="P96:P97"/>
    <mergeCell ref="Q97:S97"/>
    <mergeCell ref="Q99:S99"/>
    <mergeCell ref="P100:P101"/>
    <mergeCell ref="Q100:S101"/>
    <mergeCell ref="P102:P103"/>
    <mergeCell ref="Q102:S102"/>
    <mergeCell ref="Q103:S103"/>
    <mergeCell ref="Q105:S105"/>
    <mergeCell ref="P106:P107"/>
    <mergeCell ref="U106:U107"/>
    <mergeCell ref="Z106:Z107"/>
    <mergeCell ref="U108:U109"/>
    <mergeCell ref="Z108:Z109"/>
    <mergeCell ref="V109:X109"/>
    <mergeCell ref="AA106:AC107"/>
    <mergeCell ref="AE106:AE107"/>
    <mergeCell ref="AF106:AH107"/>
    <mergeCell ref="AA108:AC108"/>
    <mergeCell ref="AE108:AE109"/>
    <mergeCell ref="AF108:AH108"/>
    <mergeCell ref="AF109:AH109"/>
    <mergeCell ref="U112:U113"/>
    <mergeCell ref="U114:U115"/>
    <mergeCell ref="Q115:S115"/>
    <mergeCell ref="Q117:S117"/>
    <mergeCell ref="AA117:AC117"/>
    <mergeCell ref="AF117:AH117"/>
    <mergeCell ref="P118:P119"/>
    <mergeCell ref="Q118:S119"/>
    <mergeCell ref="U118:U119"/>
    <mergeCell ref="V118:X119"/>
    <mergeCell ref="Z118:Z119"/>
    <mergeCell ref="AA118:AC119"/>
    <mergeCell ref="AE118:AE119"/>
    <mergeCell ref="AF118:AH119"/>
    <mergeCell ref="AA126:AC126"/>
    <mergeCell ref="AE126:AE127"/>
    <mergeCell ref="AF126:AH126"/>
    <mergeCell ref="AA127:AC127"/>
    <mergeCell ref="AF127:AH127"/>
    <mergeCell ref="AA60:AC60"/>
    <mergeCell ref="AE60:AE61"/>
    <mergeCell ref="AF60:AH61"/>
    <mergeCell ref="AA61:AC61"/>
    <mergeCell ref="AE62:AE63"/>
    <mergeCell ref="AF62:AH62"/>
    <mergeCell ref="Q63:S63"/>
    <mergeCell ref="AF63:AH63"/>
    <mergeCell ref="V63:X63"/>
    <mergeCell ref="AA63:AC63"/>
    <mergeCell ref="Q64:S65"/>
    <mergeCell ref="U64:U65"/>
    <mergeCell ref="V64:X65"/>
    <mergeCell ref="Z64:Z65"/>
    <mergeCell ref="AA64:AC65"/>
    <mergeCell ref="AA66:AC66"/>
    <mergeCell ref="AA67:AC67"/>
    <mergeCell ref="AE67:AE68"/>
    <mergeCell ref="AF67:AH68"/>
    <mergeCell ref="AA69:AC69"/>
    <mergeCell ref="AE69:AE70"/>
    <mergeCell ref="AF69:AH69"/>
    <mergeCell ref="AF70:AH70"/>
    <mergeCell ref="P64:P65"/>
    <mergeCell ref="P66:P67"/>
    <mergeCell ref="U66:U67"/>
    <mergeCell ref="V66:X66"/>
    <mergeCell ref="Z66:Z67"/>
    <mergeCell ref="AF66:AH66"/>
    <mergeCell ref="V67:X67"/>
    <mergeCell ref="V70:X71"/>
    <mergeCell ref="Z70:Z71"/>
    <mergeCell ref="AA70:AC71"/>
    <mergeCell ref="V69:X69"/>
    <mergeCell ref="V75:X75"/>
    <mergeCell ref="AF77:AH77"/>
    <mergeCell ref="AF78:AH79"/>
    <mergeCell ref="AF80:AH80"/>
    <mergeCell ref="AF81:AH81"/>
    <mergeCell ref="AF84:AH84"/>
    <mergeCell ref="AF85:AH86"/>
    <mergeCell ref="AF87:AH87"/>
    <mergeCell ref="AF88:AH88"/>
    <mergeCell ref="U72:U73"/>
    <mergeCell ref="V72:X72"/>
    <mergeCell ref="Z72:Z73"/>
    <mergeCell ref="AA72:AC72"/>
    <mergeCell ref="V73:X73"/>
    <mergeCell ref="AA73:AC73"/>
    <mergeCell ref="AA75:AC75"/>
    <mergeCell ref="AA90:AC90"/>
    <mergeCell ref="AA91:AC91"/>
    <mergeCell ref="AF93:AH93"/>
    <mergeCell ref="AF94:AH95"/>
    <mergeCell ref="AF96:AH96"/>
    <mergeCell ref="AF97:AH97"/>
    <mergeCell ref="AF99:AH99"/>
    <mergeCell ref="AA82:AC83"/>
    <mergeCell ref="AA84:AC84"/>
    <mergeCell ref="AA85:AC85"/>
    <mergeCell ref="AE85:AE86"/>
    <mergeCell ref="AA87:AC87"/>
    <mergeCell ref="AE87:AE88"/>
    <mergeCell ref="AA88:AC89"/>
    <mergeCell ref="Q66:S66"/>
    <mergeCell ref="Q67:S67"/>
    <mergeCell ref="Q69:S69"/>
    <mergeCell ref="P70:P71"/>
    <mergeCell ref="U70:U71"/>
    <mergeCell ref="P72:P73"/>
    <mergeCell ref="Q73:S73"/>
    <mergeCell ref="Z78:Z79"/>
    <mergeCell ref="Z82:Z83"/>
    <mergeCell ref="Z84:Z85"/>
    <mergeCell ref="Z88:Z89"/>
    <mergeCell ref="Z90:Z91"/>
    <mergeCell ref="Z76:Z77"/>
    <mergeCell ref="AA76:AC77"/>
    <mergeCell ref="AA78:AC78"/>
    <mergeCell ref="AE78:AE79"/>
    <mergeCell ref="AA79:AC79"/>
    <mergeCell ref="AE80:AE81"/>
    <mergeCell ref="AA81:AC81"/>
    <mergeCell ref="V84:X84"/>
    <mergeCell ref="V85:X85"/>
    <mergeCell ref="V87:X87"/>
    <mergeCell ref="V88:X89"/>
    <mergeCell ref="V90:X90"/>
    <mergeCell ref="V91:X91"/>
    <mergeCell ref="V93:X93"/>
    <mergeCell ref="V76:X77"/>
    <mergeCell ref="V78:X78"/>
    <mergeCell ref="V79:X79"/>
    <mergeCell ref="V81:X81"/>
    <mergeCell ref="U82:U83"/>
    <mergeCell ref="V82:X83"/>
    <mergeCell ref="U84:U85"/>
    <mergeCell ref="Q90:S90"/>
    <mergeCell ref="Q91:S91"/>
    <mergeCell ref="Q93:S93"/>
    <mergeCell ref="AA93:AC93"/>
    <mergeCell ref="Q85:S85"/>
    <mergeCell ref="Q87:S87"/>
    <mergeCell ref="P88:P89"/>
    <mergeCell ref="Q88:S89"/>
    <mergeCell ref="U88:U89"/>
    <mergeCell ref="P90:P91"/>
    <mergeCell ref="U90:U91"/>
    <mergeCell ref="AA100:AC101"/>
    <mergeCell ref="AA102:AC102"/>
    <mergeCell ref="AF100:AH101"/>
    <mergeCell ref="AF102:AH102"/>
    <mergeCell ref="AF103:AH103"/>
    <mergeCell ref="AA94:AC95"/>
    <mergeCell ref="AA96:AC96"/>
    <mergeCell ref="AA99:AC99"/>
    <mergeCell ref="Z100:Z101"/>
    <mergeCell ref="AE100:AE101"/>
    <mergeCell ref="Z102:Z103"/>
    <mergeCell ref="AE102:AE103"/>
    <mergeCell ref="AA103:AC103"/>
    <mergeCell ref="AF112:AH113"/>
    <mergeCell ref="AF114:AH114"/>
    <mergeCell ref="AA115:AC115"/>
    <mergeCell ref="AF115:AH115"/>
    <mergeCell ref="AA109:AC109"/>
    <mergeCell ref="AA111:AC111"/>
    <mergeCell ref="AF111:AH111"/>
    <mergeCell ref="AA112:AC113"/>
    <mergeCell ref="AE112:AE113"/>
    <mergeCell ref="AA114:AC114"/>
    <mergeCell ref="AE114:AE115"/>
    <mergeCell ref="V115:X115"/>
    <mergeCell ref="V117:X117"/>
    <mergeCell ref="V106:X107"/>
    <mergeCell ref="V108:X108"/>
    <mergeCell ref="V111:X111"/>
    <mergeCell ref="V112:X113"/>
    <mergeCell ref="Z112:Z113"/>
    <mergeCell ref="V114:X114"/>
    <mergeCell ref="Z114:Z115"/>
    <mergeCell ref="Q106:S107"/>
    <mergeCell ref="Q108:S108"/>
    <mergeCell ref="P108:P109"/>
    <mergeCell ref="Q109:S109"/>
    <mergeCell ref="Q111:S111"/>
    <mergeCell ref="P112:P113"/>
    <mergeCell ref="Q112:S113"/>
    <mergeCell ref="P114:P115"/>
    <mergeCell ref="Q114:S114"/>
  </mergeCells>
  <conditionalFormatting sqref="P4:P5 P10:P11 P16:P17 U4:U5 U10:U11 U16:U17">
    <cfRule type="containsText" dxfId="0" priority="1" operator="containsText" text="CAR">
      <formula>NOT(ISERROR(SEARCH(("CAR"),(P4))))</formula>
    </cfRule>
  </conditionalFormatting>
  <conditionalFormatting sqref="P4:P5 P10:P11 P16:P17 U4:U5 U10:U11 U16:U17">
    <cfRule type="containsText" dxfId="1" priority="2" operator="containsText" text="AGI">
      <formula>NOT(ISERROR(SEARCH(("AGI"),(P4))))</formula>
    </cfRule>
  </conditionalFormatting>
  <conditionalFormatting sqref="P4:P5 P10:P11 P16:P17 U4:U5 U10:U11 U16:U17">
    <cfRule type="containsText" dxfId="2" priority="3" operator="containsText" text="PER">
      <formula>NOT(ISERROR(SEARCH(("PER"),(P4))))</formula>
    </cfRule>
  </conditionalFormatting>
  <conditionalFormatting sqref="P4:P5 P10:P11 P16:P17 U4:U5 U10:U11 U16:U17">
    <cfRule type="containsText" dxfId="3" priority="4" operator="containsText" text="WIL">
      <formula>NOT(ISERROR(SEARCH(("WIL"),(P4))))</formula>
    </cfRule>
  </conditionalFormatting>
  <conditionalFormatting sqref="P4:P5 P10:P11 P16:P17 U4:U5 U10:U11 U16:U17">
    <cfRule type="containsText" dxfId="4" priority="5" operator="containsText" text="INT">
      <formula>NOT(ISERROR(SEARCH(("INT"),(P4))))</formula>
    </cfRule>
  </conditionalFormatting>
  <conditionalFormatting sqref="P4:P5 P10:P11 P16:P17 U4:U5 U10:U11 U16:U17">
    <cfRule type="containsText" dxfId="5" priority="6" operator="containsText" text="STR">
      <formula>NOT(ISERROR(SEARCH(("STR"),(P4))))</formula>
    </cfRule>
  </conditionalFormatting>
  <conditionalFormatting sqref="Z4:Z5">
    <cfRule type="containsText" dxfId="0" priority="7" operator="containsText" text="CAR">
      <formula>NOT(ISERROR(SEARCH(("CAR"),(Z4))))</formula>
    </cfRule>
  </conditionalFormatting>
  <conditionalFormatting sqref="Z4:Z5">
    <cfRule type="containsText" dxfId="1" priority="8" operator="containsText" text="AGI">
      <formula>NOT(ISERROR(SEARCH(("AGI"),(Z4))))</formula>
    </cfRule>
  </conditionalFormatting>
  <conditionalFormatting sqref="Z4:Z5">
    <cfRule type="containsText" dxfId="2" priority="9" operator="containsText" text="PER">
      <formula>NOT(ISERROR(SEARCH(("PER"),(Z4))))</formula>
    </cfRule>
  </conditionalFormatting>
  <conditionalFormatting sqref="Z4:Z5">
    <cfRule type="containsText" dxfId="3" priority="10" operator="containsText" text="WIL">
      <formula>NOT(ISERROR(SEARCH(("WIL"),(Z4))))</formula>
    </cfRule>
  </conditionalFormatting>
  <conditionalFormatting sqref="Z4:Z5">
    <cfRule type="containsText" dxfId="4" priority="11" operator="containsText" text="INT">
      <formula>NOT(ISERROR(SEARCH(("INT"),(Z4))))</formula>
    </cfRule>
  </conditionalFormatting>
  <conditionalFormatting sqref="Z4:Z5">
    <cfRule type="containsText" dxfId="5" priority="12" operator="containsText" text="STR">
      <formula>NOT(ISERROR(SEARCH(("STR"),(Z4))))</formula>
    </cfRule>
  </conditionalFormatting>
  <conditionalFormatting sqref="Z10:Z11">
    <cfRule type="containsText" dxfId="0" priority="13" operator="containsText" text="CAR">
      <formula>NOT(ISERROR(SEARCH(("CAR"),(Z10))))</formula>
    </cfRule>
  </conditionalFormatting>
  <conditionalFormatting sqref="Z10:Z11">
    <cfRule type="containsText" dxfId="1" priority="14" operator="containsText" text="AGI">
      <formula>NOT(ISERROR(SEARCH(("AGI"),(Z10))))</formula>
    </cfRule>
  </conditionalFormatting>
  <conditionalFormatting sqref="Z10:Z11">
    <cfRule type="containsText" dxfId="2" priority="15" operator="containsText" text="PER">
      <formula>NOT(ISERROR(SEARCH(("PER"),(Z10))))</formula>
    </cfRule>
  </conditionalFormatting>
  <conditionalFormatting sqref="Z10:Z11">
    <cfRule type="containsText" dxfId="3" priority="16" operator="containsText" text="WIL">
      <formula>NOT(ISERROR(SEARCH(("WIL"),(Z10))))</formula>
    </cfRule>
  </conditionalFormatting>
  <conditionalFormatting sqref="Z10:Z11">
    <cfRule type="containsText" dxfId="4" priority="17" operator="containsText" text="INT">
      <formula>NOT(ISERROR(SEARCH(("INT"),(Z10))))</formula>
    </cfRule>
  </conditionalFormatting>
  <conditionalFormatting sqref="Z10:Z11">
    <cfRule type="containsText" dxfId="5" priority="18" operator="containsText" text="STR">
      <formula>NOT(ISERROR(SEARCH(("STR"),(Z10))))</formula>
    </cfRule>
  </conditionalFormatting>
  <conditionalFormatting sqref="Z16:Z17">
    <cfRule type="containsText" dxfId="0" priority="19" operator="containsText" text="CAR">
      <formula>NOT(ISERROR(SEARCH(("CAR"),(Z16))))</formula>
    </cfRule>
  </conditionalFormatting>
  <conditionalFormatting sqref="Z16:Z17">
    <cfRule type="containsText" dxfId="1" priority="20" operator="containsText" text="AGI">
      <formula>NOT(ISERROR(SEARCH(("AGI"),(Z16))))</formula>
    </cfRule>
  </conditionalFormatting>
  <conditionalFormatting sqref="Z16:Z17">
    <cfRule type="containsText" dxfId="2" priority="21" operator="containsText" text="PER">
      <formula>NOT(ISERROR(SEARCH(("PER"),(Z16))))</formula>
    </cfRule>
  </conditionalFormatting>
  <conditionalFormatting sqref="Z16:Z17">
    <cfRule type="containsText" dxfId="3" priority="22" operator="containsText" text="WIL">
      <formula>NOT(ISERROR(SEARCH(("WIL"),(Z16))))</formula>
    </cfRule>
  </conditionalFormatting>
  <conditionalFormatting sqref="Z16:Z17">
    <cfRule type="containsText" dxfId="4" priority="23" operator="containsText" text="INT">
      <formula>NOT(ISERROR(SEARCH(("INT"),(Z16))))</formula>
    </cfRule>
  </conditionalFormatting>
  <conditionalFormatting sqref="Z16:Z17">
    <cfRule type="containsText" dxfId="5" priority="24" operator="containsText" text="STR">
      <formula>NOT(ISERROR(SEARCH(("STR"),(Z16))))</formula>
    </cfRule>
  </conditionalFormatting>
  <conditionalFormatting sqref="P40:P41 P46:P47 P52:P53">
    <cfRule type="containsText" dxfId="0" priority="25" operator="containsText" text="CAR">
      <formula>NOT(ISERROR(SEARCH(("CAR"),(P40))))</formula>
    </cfRule>
  </conditionalFormatting>
  <conditionalFormatting sqref="P40:P41 P46:P47 P52:P53">
    <cfRule type="containsText" dxfId="1" priority="26" operator="containsText" text="AGI">
      <formula>NOT(ISERROR(SEARCH(("AGI"),(P40))))</formula>
    </cfRule>
  </conditionalFormatting>
  <conditionalFormatting sqref="P40:P41 P46:P47 P52:P53">
    <cfRule type="containsText" dxfId="2" priority="27" operator="containsText" text="PER">
      <formula>NOT(ISERROR(SEARCH(("PER"),(P40))))</formula>
    </cfRule>
  </conditionalFormatting>
  <conditionalFormatting sqref="P40:P41 P46:P47 P52:P53">
    <cfRule type="containsText" dxfId="3" priority="28" operator="containsText" text="WIL">
      <formula>NOT(ISERROR(SEARCH(("WIL"),(P40))))</formula>
    </cfRule>
  </conditionalFormatting>
  <conditionalFormatting sqref="P40:P41 P46:P47 P52:P53">
    <cfRule type="containsText" dxfId="4" priority="29" operator="containsText" text="INT">
      <formula>NOT(ISERROR(SEARCH(("INT"),(P40))))</formula>
    </cfRule>
  </conditionalFormatting>
  <conditionalFormatting sqref="P40:P41 P46:P47 P52:P53">
    <cfRule type="containsText" dxfId="5" priority="30" operator="containsText" text="STR">
      <formula>NOT(ISERROR(SEARCH(("STR"),(P40))))</formula>
    </cfRule>
  </conditionalFormatting>
  <conditionalFormatting sqref="U40:U41 U46:U47 U52:U53">
    <cfRule type="containsText" dxfId="0" priority="31" operator="containsText" text="CAR">
      <formula>NOT(ISERROR(SEARCH(("CAR"),(U40))))</formula>
    </cfRule>
  </conditionalFormatting>
  <conditionalFormatting sqref="U40:U41 U46:U47 U52:U53">
    <cfRule type="containsText" dxfId="1" priority="32" operator="containsText" text="AGI">
      <formula>NOT(ISERROR(SEARCH(("AGI"),(U40))))</formula>
    </cfRule>
  </conditionalFormatting>
  <conditionalFormatting sqref="U40:U41 U46:U47 U52:U53">
    <cfRule type="containsText" dxfId="2" priority="33" operator="containsText" text="PER">
      <formula>NOT(ISERROR(SEARCH(("PER"),(U40))))</formula>
    </cfRule>
  </conditionalFormatting>
  <conditionalFormatting sqref="U40:U41 U46:U47 U52:U53">
    <cfRule type="containsText" dxfId="3" priority="34" operator="containsText" text="WIL">
      <formula>NOT(ISERROR(SEARCH(("WIL"),(U40))))</formula>
    </cfRule>
  </conditionalFormatting>
  <conditionalFormatting sqref="U40:U41 U46:U47 U52:U53">
    <cfRule type="containsText" dxfId="4" priority="35" operator="containsText" text="INT">
      <formula>NOT(ISERROR(SEARCH(("INT"),(U40))))</formula>
    </cfRule>
  </conditionalFormatting>
  <conditionalFormatting sqref="U40:U41 U46:U47 U52:U53">
    <cfRule type="containsText" dxfId="5" priority="36" operator="containsText" text="STR">
      <formula>NOT(ISERROR(SEARCH(("STR"),(U40))))</formula>
    </cfRule>
  </conditionalFormatting>
  <conditionalFormatting sqref="Z40:Z41">
    <cfRule type="containsText" dxfId="0" priority="37" operator="containsText" text="CAR">
      <formula>NOT(ISERROR(SEARCH(("CAR"),(Z40))))</formula>
    </cfRule>
  </conditionalFormatting>
  <conditionalFormatting sqref="Z40:Z41">
    <cfRule type="containsText" dxfId="1" priority="38" operator="containsText" text="AGI">
      <formula>NOT(ISERROR(SEARCH(("AGI"),(Z40))))</formula>
    </cfRule>
  </conditionalFormatting>
  <conditionalFormatting sqref="Z40:Z41">
    <cfRule type="containsText" dxfId="2" priority="39" operator="containsText" text="PER">
      <formula>NOT(ISERROR(SEARCH(("PER"),(Z40))))</formula>
    </cfRule>
  </conditionalFormatting>
  <conditionalFormatting sqref="Z40:Z41">
    <cfRule type="containsText" dxfId="3" priority="40" operator="containsText" text="WIL">
      <formula>NOT(ISERROR(SEARCH(("WIL"),(Z40))))</formula>
    </cfRule>
  </conditionalFormatting>
  <conditionalFormatting sqref="Z40:Z41">
    <cfRule type="containsText" dxfId="4" priority="41" operator="containsText" text="INT">
      <formula>NOT(ISERROR(SEARCH(("INT"),(Z40))))</formula>
    </cfRule>
  </conditionalFormatting>
  <conditionalFormatting sqref="Z40:Z41">
    <cfRule type="containsText" dxfId="5" priority="42" operator="containsText" text="STR">
      <formula>NOT(ISERROR(SEARCH(("STR"),(Z40))))</formula>
    </cfRule>
  </conditionalFormatting>
  <conditionalFormatting sqref="Z46:Z47">
    <cfRule type="containsText" dxfId="0" priority="43" operator="containsText" text="CAR">
      <formula>NOT(ISERROR(SEARCH(("CAR"),(Z46))))</formula>
    </cfRule>
  </conditionalFormatting>
  <conditionalFormatting sqref="Z46:Z47">
    <cfRule type="containsText" dxfId="1" priority="44" operator="containsText" text="AGI">
      <formula>NOT(ISERROR(SEARCH(("AGI"),(Z46))))</formula>
    </cfRule>
  </conditionalFormatting>
  <conditionalFormatting sqref="Z46:Z47">
    <cfRule type="containsText" dxfId="2" priority="45" operator="containsText" text="PER">
      <formula>NOT(ISERROR(SEARCH(("PER"),(Z46))))</formula>
    </cfRule>
  </conditionalFormatting>
  <conditionalFormatting sqref="Z46:Z47">
    <cfRule type="containsText" dxfId="3" priority="46" operator="containsText" text="WIL">
      <formula>NOT(ISERROR(SEARCH(("WIL"),(Z46))))</formula>
    </cfRule>
  </conditionalFormatting>
  <conditionalFormatting sqref="Z46:Z47">
    <cfRule type="containsText" dxfId="4" priority="47" operator="containsText" text="INT">
      <formula>NOT(ISERROR(SEARCH(("INT"),(Z46))))</formula>
    </cfRule>
  </conditionalFormatting>
  <conditionalFormatting sqref="Z46:Z47">
    <cfRule type="containsText" dxfId="5" priority="48" operator="containsText" text="STR">
      <formula>NOT(ISERROR(SEARCH(("STR"),(Z46))))</formula>
    </cfRule>
  </conditionalFormatting>
  <conditionalFormatting sqref="Z52:Z53">
    <cfRule type="containsText" dxfId="0" priority="49" operator="containsText" text="CAR">
      <formula>NOT(ISERROR(SEARCH(("CAR"),(Z52))))</formula>
    </cfRule>
  </conditionalFormatting>
  <conditionalFormatting sqref="Z52:Z53">
    <cfRule type="containsText" dxfId="1" priority="50" operator="containsText" text="AGI">
      <formula>NOT(ISERROR(SEARCH(("AGI"),(Z52))))</formula>
    </cfRule>
  </conditionalFormatting>
  <conditionalFormatting sqref="Z52:Z53">
    <cfRule type="containsText" dxfId="2" priority="51" operator="containsText" text="PER">
      <formula>NOT(ISERROR(SEARCH(("PER"),(Z52))))</formula>
    </cfRule>
  </conditionalFormatting>
  <conditionalFormatting sqref="Z52:Z53">
    <cfRule type="containsText" dxfId="3" priority="52" operator="containsText" text="WIL">
      <formula>NOT(ISERROR(SEARCH(("WIL"),(Z52))))</formula>
    </cfRule>
  </conditionalFormatting>
  <conditionalFormatting sqref="Z52:Z53">
    <cfRule type="containsText" dxfId="4" priority="53" operator="containsText" text="INT">
      <formula>NOT(ISERROR(SEARCH(("INT"),(Z52))))</formula>
    </cfRule>
  </conditionalFormatting>
  <conditionalFormatting sqref="Z52:Z53">
    <cfRule type="containsText" dxfId="5" priority="54" operator="containsText" text="STR">
      <formula>NOT(ISERROR(SEARCH(("STR"),(Z52))))</formula>
    </cfRule>
  </conditionalFormatting>
  <conditionalFormatting sqref="AE49:AE50">
    <cfRule type="containsText" dxfId="6" priority="55" operator="containsText" text="CAR">
      <formula>NOT(ISERROR(SEARCH(("CAR"),(AE49))))</formula>
    </cfRule>
  </conditionalFormatting>
  <conditionalFormatting sqref="AE49:AE50">
    <cfRule type="containsText" dxfId="1" priority="56" operator="containsText" text="AGI">
      <formula>NOT(ISERROR(SEARCH(("AGI"),(AE49))))</formula>
    </cfRule>
  </conditionalFormatting>
  <conditionalFormatting sqref="AE49:AE50">
    <cfRule type="containsText" dxfId="2" priority="57" operator="containsText" text="PER">
      <formula>NOT(ISERROR(SEARCH(("PER"),(AE49))))</formula>
    </cfRule>
  </conditionalFormatting>
  <conditionalFormatting sqref="AE49:AE50">
    <cfRule type="containsText" dxfId="3" priority="58" operator="containsText" text="WIL">
      <formula>NOT(ISERROR(SEARCH(("WIL"),(AE49))))</formula>
    </cfRule>
  </conditionalFormatting>
  <conditionalFormatting sqref="AE49:AE50">
    <cfRule type="containsText" dxfId="7" priority="59" operator="containsText" text="INT">
      <formula>NOT(ISERROR(SEARCH(("INT"),(AE49))))</formula>
    </cfRule>
  </conditionalFormatting>
  <conditionalFormatting sqref="AE49:AE50">
    <cfRule type="containsText" dxfId="5" priority="60" operator="containsText" text="STR">
      <formula>NOT(ISERROR(SEARCH(("STR"),(AE49))))</formula>
    </cfRule>
  </conditionalFormatting>
  <conditionalFormatting sqref="AE42:AE43">
    <cfRule type="containsText" dxfId="6" priority="61" operator="containsText" text="CAR">
      <formula>NOT(ISERROR(SEARCH(("CAR"),(AE42))))</formula>
    </cfRule>
  </conditionalFormatting>
  <conditionalFormatting sqref="AE42:AE43">
    <cfRule type="containsText" dxfId="1" priority="62" operator="containsText" text="AGI">
      <formula>NOT(ISERROR(SEARCH(("AGI"),(AE42))))</formula>
    </cfRule>
  </conditionalFormatting>
  <conditionalFormatting sqref="AE42:AE43">
    <cfRule type="containsText" dxfId="2" priority="63" operator="containsText" text="PER">
      <formula>NOT(ISERROR(SEARCH(("PER"),(AE42))))</formula>
    </cfRule>
  </conditionalFormatting>
  <conditionalFormatting sqref="AE42:AE43">
    <cfRule type="containsText" dxfId="3" priority="64" operator="containsText" text="WIL">
      <formula>NOT(ISERROR(SEARCH(("WIL"),(AE42))))</formula>
    </cfRule>
  </conditionalFormatting>
  <conditionalFormatting sqref="AE42:AE43">
    <cfRule type="containsText" dxfId="7" priority="65" operator="containsText" text="INT">
      <formula>NOT(ISERROR(SEARCH(("INT"),(AE42))))</formula>
    </cfRule>
  </conditionalFormatting>
  <conditionalFormatting sqref="AE42:AE43">
    <cfRule type="containsText" dxfId="5" priority="66" operator="containsText" text="STR">
      <formula>NOT(ISERROR(SEARCH(("STR"),(AE42))))</formula>
    </cfRule>
  </conditionalFormatting>
  <conditionalFormatting sqref="P58:P59 P64:P65 P70:P71">
    <cfRule type="containsText" dxfId="0" priority="67" operator="containsText" text="CAR">
      <formula>NOT(ISERROR(SEARCH(("CAR"),(P58))))</formula>
    </cfRule>
  </conditionalFormatting>
  <conditionalFormatting sqref="P58:P59 P64:P65 P70:P71">
    <cfRule type="containsText" dxfId="1" priority="68" operator="containsText" text="AGI">
      <formula>NOT(ISERROR(SEARCH(("AGI"),(P58))))</formula>
    </cfRule>
  </conditionalFormatting>
  <conditionalFormatting sqref="P58:P59 P64:P65 P70:P71">
    <cfRule type="containsText" dxfId="2" priority="69" operator="containsText" text="PER">
      <formula>NOT(ISERROR(SEARCH(("PER"),(P58))))</formula>
    </cfRule>
  </conditionalFormatting>
  <conditionalFormatting sqref="P58:P59 P64:P65 P70:P71">
    <cfRule type="containsText" dxfId="3" priority="70" operator="containsText" text="WIL">
      <formula>NOT(ISERROR(SEARCH(("WIL"),(P58))))</formula>
    </cfRule>
  </conditionalFormatting>
  <conditionalFormatting sqref="P58:P59 P64:P65 P70:P71">
    <cfRule type="containsText" dxfId="4" priority="71" operator="containsText" text="INT">
      <formula>NOT(ISERROR(SEARCH(("INT"),(P58))))</formula>
    </cfRule>
  </conditionalFormatting>
  <conditionalFormatting sqref="P58:P59 P64:P65 P70:P71">
    <cfRule type="containsText" dxfId="5" priority="72" operator="containsText" text="STR">
      <formula>NOT(ISERROR(SEARCH(("STR"),(P58))))</formula>
    </cfRule>
  </conditionalFormatting>
  <conditionalFormatting sqref="Z58:Z59">
    <cfRule type="containsText" dxfId="0" priority="73" operator="containsText" text="CAR">
      <formula>NOT(ISERROR(SEARCH(("CAR"),(Z58))))</formula>
    </cfRule>
  </conditionalFormatting>
  <conditionalFormatting sqref="Z58:Z59">
    <cfRule type="containsText" dxfId="1" priority="74" operator="containsText" text="AGI">
      <formula>NOT(ISERROR(SEARCH(("AGI"),(Z58))))</formula>
    </cfRule>
  </conditionalFormatting>
  <conditionalFormatting sqref="Z58:Z59">
    <cfRule type="containsText" dxfId="2" priority="75" operator="containsText" text="PER">
      <formula>NOT(ISERROR(SEARCH(("PER"),(Z58))))</formula>
    </cfRule>
  </conditionalFormatting>
  <conditionalFormatting sqref="Z58:Z59">
    <cfRule type="containsText" dxfId="3" priority="76" operator="containsText" text="WIL">
      <formula>NOT(ISERROR(SEARCH(("WIL"),(Z58))))</formula>
    </cfRule>
  </conditionalFormatting>
  <conditionalFormatting sqref="Z58:Z59">
    <cfRule type="containsText" dxfId="4" priority="77" operator="containsText" text="INT">
      <formula>NOT(ISERROR(SEARCH(("INT"),(Z58))))</formula>
    </cfRule>
  </conditionalFormatting>
  <conditionalFormatting sqref="Z58:Z59">
    <cfRule type="containsText" dxfId="5" priority="78" operator="containsText" text="STR">
      <formula>NOT(ISERROR(SEARCH(("STR"),(Z58))))</formula>
    </cfRule>
  </conditionalFormatting>
  <conditionalFormatting sqref="AE60:AE61">
    <cfRule type="containsText" dxfId="0" priority="79" operator="containsText" text="CAR">
      <formula>NOT(ISERROR(SEARCH(("CAR"),(AE60))))</formula>
    </cfRule>
  </conditionalFormatting>
  <conditionalFormatting sqref="AE60:AE61">
    <cfRule type="containsText" dxfId="1" priority="80" operator="containsText" text="AGI">
      <formula>NOT(ISERROR(SEARCH(("AGI"),(AE60))))</formula>
    </cfRule>
  </conditionalFormatting>
  <conditionalFormatting sqref="AE60:AE61">
    <cfRule type="containsText" dxfId="2" priority="81" operator="containsText" text="PER">
      <formula>NOT(ISERROR(SEARCH(("PER"),(AE60))))</formula>
    </cfRule>
  </conditionalFormatting>
  <conditionalFormatting sqref="AE60:AE61">
    <cfRule type="containsText" dxfId="3" priority="82" operator="containsText" text="WIL">
      <formula>NOT(ISERROR(SEARCH(("WIL"),(AE60))))</formula>
    </cfRule>
  </conditionalFormatting>
  <conditionalFormatting sqref="AE60:AE61">
    <cfRule type="containsText" dxfId="4" priority="83" operator="containsText" text="INT">
      <formula>NOT(ISERROR(SEARCH(("INT"),(AE60))))</formula>
    </cfRule>
  </conditionalFormatting>
  <conditionalFormatting sqref="AE60:AE61">
    <cfRule type="containsText" dxfId="5" priority="84" operator="containsText" text="STR">
      <formula>NOT(ISERROR(SEARCH(("STR"),(AE60))))</formula>
    </cfRule>
  </conditionalFormatting>
  <conditionalFormatting sqref="AE67:AE68">
    <cfRule type="containsText" dxfId="0" priority="85" operator="containsText" text="CAR">
      <formula>NOT(ISERROR(SEARCH(("CAR"),(AE67))))</formula>
    </cfRule>
  </conditionalFormatting>
  <conditionalFormatting sqref="AE67:AE68">
    <cfRule type="containsText" dxfId="1" priority="86" operator="containsText" text="AGI">
      <formula>NOT(ISERROR(SEARCH(("AGI"),(AE67))))</formula>
    </cfRule>
  </conditionalFormatting>
  <conditionalFormatting sqref="AE67:AE68">
    <cfRule type="containsText" dxfId="2" priority="87" operator="containsText" text="PER">
      <formula>NOT(ISERROR(SEARCH(("PER"),(AE67))))</formula>
    </cfRule>
  </conditionalFormatting>
  <conditionalFormatting sqref="AE67:AE68">
    <cfRule type="containsText" dxfId="3" priority="88" operator="containsText" text="WIL">
      <formula>NOT(ISERROR(SEARCH(("WIL"),(AE67))))</formula>
    </cfRule>
  </conditionalFormatting>
  <conditionalFormatting sqref="AE67:AE68">
    <cfRule type="containsText" dxfId="4" priority="89" operator="containsText" text="INT">
      <formula>NOT(ISERROR(SEARCH(("INT"),(AE67))))</formula>
    </cfRule>
  </conditionalFormatting>
  <conditionalFormatting sqref="AE67:AE68">
    <cfRule type="containsText" dxfId="5" priority="90" operator="containsText" text="STR">
      <formula>NOT(ISERROR(SEARCH(("STR"),(AE67))))</formula>
    </cfRule>
  </conditionalFormatting>
  <conditionalFormatting sqref="Z64:Z65">
    <cfRule type="containsText" dxfId="0" priority="91" operator="containsText" text="CAR">
      <formula>NOT(ISERROR(SEARCH(("CAR"),(Z64))))</formula>
    </cfRule>
  </conditionalFormatting>
  <conditionalFormatting sqref="Z64:Z65">
    <cfRule type="containsText" dxfId="1" priority="92" operator="containsText" text="AGI">
      <formula>NOT(ISERROR(SEARCH(("AGI"),(Z64))))</formula>
    </cfRule>
  </conditionalFormatting>
  <conditionalFormatting sqref="Z64:Z65">
    <cfRule type="containsText" dxfId="2" priority="93" operator="containsText" text="PER">
      <formula>NOT(ISERROR(SEARCH(("PER"),(Z64))))</formula>
    </cfRule>
  </conditionalFormatting>
  <conditionalFormatting sqref="Z64:Z65">
    <cfRule type="containsText" dxfId="3" priority="94" operator="containsText" text="WIL">
      <formula>NOT(ISERROR(SEARCH(("WIL"),(Z64))))</formula>
    </cfRule>
  </conditionalFormatting>
  <conditionalFormatting sqref="Z64:Z65">
    <cfRule type="containsText" dxfId="4" priority="95" operator="containsText" text="INT">
      <formula>NOT(ISERROR(SEARCH(("INT"),(Z64))))</formula>
    </cfRule>
  </conditionalFormatting>
  <conditionalFormatting sqref="Z64:Z65">
    <cfRule type="containsText" dxfId="5" priority="96" operator="containsText" text="STR">
      <formula>NOT(ISERROR(SEARCH(("STR"),(Z64))))</formula>
    </cfRule>
  </conditionalFormatting>
  <conditionalFormatting sqref="Z70:Z71">
    <cfRule type="containsText" dxfId="0" priority="97" operator="containsText" text="CAR">
      <formula>NOT(ISERROR(SEARCH(("CAR"),(Z70))))</formula>
    </cfRule>
  </conditionalFormatting>
  <conditionalFormatting sqref="Z70:Z71">
    <cfRule type="containsText" dxfId="1" priority="98" operator="containsText" text="AGI">
      <formula>NOT(ISERROR(SEARCH(("AGI"),(Z70))))</formula>
    </cfRule>
  </conditionalFormatting>
  <conditionalFormatting sqref="Z70:Z71">
    <cfRule type="containsText" dxfId="2" priority="99" operator="containsText" text="PER">
      <formula>NOT(ISERROR(SEARCH(("PER"),(Z70))))</formula>
    </cfRule>
  </conditionalFormatting>
  <conditionalFormatting sqref="Z70:Z71">
    <cfRule type="containsText" dxfId="3" priority="100" operator="containsText" text="WIL">
      <formula>NOT(ISERROR(SEARCH(("WIL"),(Z70))))</formula>
    </cfRule>
  </conditionalFormatting>
  <conditionalFormatting sqref="Z70:Z71">
    <cfRule type="containsText" dxfId="4" priority="101" operator="containsText" text="INT">
      <formula>NOT(ISERROR(SEARCH(("INT"),(Z70))))</formula>
    </cfRule>
  </conditionalFormatting>
  <conditionalFormatting sqref="Z70:Z71">
    <cfRule type="containsText" dxfId="5" priority="102" operator="containsText" text="STR">
      <formula>NOT(ISERROR(SEARCH(("STR"),(Z70))))</formula>
    </cfRule>
  </conditionalFormatting>
  <conditionalFormatting sqref="U64:U65">
    <cfRule type="containsText" dxfId="0" priority="103" operator="containsText" text="CAR">
      <formula>NOT(ISERROR(SEARCH(("CAR"),(U64))))</formula>
    </cfRule>
  </conditionalFormatting>
  <conditionalFormatting sqref="U64:U65">
    <cfRule type="containsText" dxfId="1" priority="104" operator="containsText" text="AGI">
      <formula>NOT(ISERROR(SEARCH(("AGI"),(U64))))</formula>
    </cfRule>
  </conditionalFormatting>
  <conditionalFormatting sqref="U64:U65">
    <cfRule type="containsText" dxfId="2" priority="105" operator="containsText" text="PER">
      <formula>NOT(ISERROR(SEARCH(("PER"),(U64))))</formula>
    </cfRule>
  </conditionalFormatting>
  <conditionalFormatting sqref="U64:U65">
    <cfRule type="containsText" dxfId="3" priority="106" operator="containsText" text="WIL">
      <formula>NOT(ISERROR(SEARCH(("WIL"),(U64))))</formula>
    </cfRule>
  </conditionalFormatting>
  <conditionalFormatting sqref="U64:U65">
    <cfRule type="containsText" dxfId="4" priority="107" operator="containsText" text="INT">
      <formula>NOT(ISERROR(SEARCH(("INT"),(U64))))</formula>
    </cfRule>
  </conditionalFormatting>
  <conditionalFormatting sqref="U64:U65">
    <cfRule type="containsText" dxfId="5" priority="108" operator="containsText" text="STR">
      <formula>NOT(ISERROR(SEARCH(("STR"),(U64))))</formula>
    </cfRule>
  </conditionalFormatting>
  <conditionalFormatting sqref="U58:U59">
    <cfRule type="containsText" dxfId="0" priority="109" operator="containsText" text="CAR">
      <formula>NOT(ISERROR(SEARCH(("CAR"),(U58))))</formula>
    </cfRule>
  </conditionalFormatting>
  <conditionalFormatting sqref="U58:U59">
    <cfRule type="containsText" dxfId="1" priority="110" operator="containsText" text="AGI">
      <formula>NOT(ISERROR(SEARCH(("AGI"),(U58))))</formula>
    </cfRule>
  </conditionalFormatting>
  <conditionalFormatting sqref="U58:U59">
    <cfRule type="containsText" dxfId="2" priority="111" operator="containsText" text="PER">
      <formula>NOT(ISERROR(SEARCH(("PER"),(U58))))</formula>
    </cfRule>
  </conditionalFormatting>
  <conditionalFormatting sqref="U58:U59">
    <cfRule type="containsText" dxfId="3" priority="112" operator="containsText" text="WIL">
      <formula>NOT(ISERROR(SEARCH(("WIL"),(U58))))</formula>
    </cfRule>
  </conditionalFormatting>
  <conditionalFormatting sqref="U58:U59">
    <cfRule type="containsText" dxfId="4" priority="113" operator="containsText" text="INT">
      <formula>NOT(ISERROR(SEARCH(("INT"),(U58))))</formula>
    </cfRule>
  </conditionalFormatting>
  <conditionalFormatting sqref="U58:U59">
    <cfRule type="containsText" dxfId="5" priority="114" operator="containsText" text="STR">
      <formula>NOT(ISERROR(SEARCH(("STR"),(U58))))</formula>
    </cfRule>
  </conditionalFormatting>
  <conditionalFormatting sqref="U70:U71">
    <cfRule type="containsText" dxfId="0" priority="115" operator="containsText" text="CAR">
      <formula>NOT(ISERROR(SEARCH(("CAR"),(U70))))</formula>
    </cfRule>
  </conditionalFormatting>
  <conditionalFormatting sqref="U70:U71">
    <cfRule type="containsText" dxfId="1" priority="116" operator="containsText" text="AGI">
      <formula>NOT(ISERROR(SEARCH(("AGI"),(U70))))</formula>
    </cfRule>
  </conditionalFormatting>
  <conditionalFormatting sqref="U70:U71">
    <cfRule type="containsText" dxfId="2" priority="117" operator="containsText" text="PER">
      <formula>NOT(ISERROR(SEARCH(("PER"),(U70))))</formula>
    </cfRule>
  </conditionalFormatting>
  <conditionalFormatting sqref="U70:U71">
    <cfRule type="containsText" dxfId="3" priority="118" operator="containsText" text="WIL">
      <formula>NOT(ISERROR(SEARCH(("WIL"),(U70))))</formula>
    </cfRule>
  </conditionalFormatting>
  <conditionalFormatting sqref="U70:U71">
    <cfRule type="containsText" dxfId="4" priority="119" operator="containsText" text="INT">
      <formula>NOT(ISERROR(SEARCH(("INT"),(U70))))</formula>
    </cfRule>
  </conditionalFormatting>
  <conditionalFormatting sqref="U70:U71">
    <cfRule type="containsText" dxfId="5" priority="120" operator="containsText" text="STR">
      <formula>NOT(ISERROR(SEARCH(("STR"),(U70))))</formula>
    </cfRule>
  </conditionalFormatting>
  <conditionalFormatting sqref="P76:P77 P82:P83 P88:P89">
    <cfRule type="containsText" dxfId="0" priority="121" operator="containsText" text="CAR">
      <formula>NOT(ISERROR(SEARCH(("CAR"),(P76))))</formula>
    </cfRule>
  </conditionalFormatting>
  <conditionalFormatting sqref="P76:P77 P82:P83 P88:P89">
    <cfRule type="containsText" dxfId="1" priority="122" operator="containsText" text="AGI">
      <formula>NOT(ISERROR(SEARCH(("AGI"),(P76))))</formula>
    </cfRule>
  </conditionalFormatting>
  <conditionalFormatting sqref="P76:P77 P82:P83 P88:P89">
    <cfRule type="containsText" dxfId="2" priority="123" operator="containsText" text="PER">
      <formula>NOT(ISERROR(SEARCH(("PER"),(P76))))</formula>
    </cfRule>
  </conditionalFormatting>
  <conditionalFormatting sqref="P76:P77 P82:P83 P88:P89">
    <cfRule type="containsText" dxfId="3" priority="124" operator="containsText" text="WIL">
      <formula>NOT(ISERROR(SEARCH(("WIL"),(P76))))</formula>
    </cfRule>
  </conditionalFormatting>
  <conditionalFormatting sqref="P76:P77 P82:P83 P88:P89">
    <cfRule type="containsText" dxfId="4" priority="125" operator="containsText" text="INT">
      <formula>NOT(ISERROR(SEARCH(("INT"),(P76))))</formula>
    </cfRule>
  </conditionalFormatting>
  <conditionalFormatting sqref="P76:P77 P82:P83 P88:P89">
    <cfRule type="containsText" dxfId="5" priority="126" operator="containsText" text="STR">
      <formula>NOT(ISERROR(SEARCH(("STR"),(P76))))</formula>
    </cfRule>
  </conditionalFormatting>
  <conditionalFormatting sqref="Z76:Z77">
    <cfRule type="containsText" dxfId="0" priority="127" operator="containsText" text="CAR">
      <formula>NOT(ISERROR(SEARCH(("CAR"),(Z76))))</formula>
    </cfRule>
  </conditionalFormatting>
  <conditionalFormatting sqref="Z76:Z77">
    <cfRule type="containsText" dxfId="1" priority="128" operator="containsText" text="AGI">
      <formula>NOT(ISERROR(SEARCH(("AGI"),(Z76))))</formula>
    </cfRule>
  </conditionalFormatting>
  <conditionalFormatting sqref="Z76:Z77">
    <cfRule type="containsText" dxfId="2" priority="129" operator="containsText" text="PER">
      <formula>NOT(ISERROR(SEARCH(("PER"),(Z76))))</formula>
    </cfRule>
  </conditionalFormatting>
  <conditionalFormatting sqref="Z76:Z77">
    <cfRule type="containsText" dxfId="3" priority="130" operator="containsText" text="WIL">
      <formula>NOT(ISERROR(SEARCH(("WIL"),(Z76))))</formula>
    </cfRule>
  </conditionalFormatting>
  <conditionalFormatting sqref="Z76:Z77">
    <cfRule type="containsText" dxfId="4" priority="131" operator="containsText" text="INT">
      <formula>NOT(ISERROR(SEARCH(("INT"),(Z76))))</formula>
    </cfRule>
  </conditionalFormatting>
  <conditionalFormatting sqref="Z76:Z77">
    <cfRule type="containsText" dxfId="5" priority="132" operator="containsText" text="STR">
      <formula>NOT(ISERROR(SEARCH(("STR"),(Z76))))</formula>
    </cfRule>
  </conditionalFormatting>
  <conditionalFormatting sqref="AE78:AE79">
    <cfRule type="containsText" dxfId="0" priority="133" operator="containsText" text="CAR">
      <formula>NOT(ISERROR(SEARCH(("CAR"),(AE78))))</formula>
    </cfRule>
  </conditionalFormatting>
  <conditionalFormatting sqref="AE78:AE79">
    <cfRule type="containsText" dxfId="1" priority="134" operator="containsText" text="AGI">
      <formula>NOT(ISERROR(SEARCH(("AGI"),(AE78))))</formula>
    </cfRule>
  </conditionalFormatting>
  <conditionalFormatting sqref="AE78:AE79">
    <cfRule type="containsText" dxfId="2" priority="135" operator="containsText" text="PER">
      <formula>NOT(ISERROR(SEARCH(("PER"),(AE78))))</formula>
    </cfRule>
  </conditionalFormatting>
  <conditionalFormatting sqref="AE78:AE79">
    <cfRule type="containsText" dxfId="3" priority="136" operator="containsText" text="WIL">
      <formula>NOT(ISERROR(SEARCH(("WIL"),(AE78))))</formula>
    </cfRule>
  </conditionalFormatting>
  <conditionalFormatting sqref="AE78:AE79">
    <cfRule type="containsText" dxfId="4" priority="137" operator="containsText" text="INT">
      <formula>NOT(ISERROR(SEARCH(("INT"),(AE78))))</formula>
    </cfRule>
  </conditionalFormatting>
  <conditionalFormatting sqref="AE78:AE79">
    <cfRule type="containsText" dxfId="5" priority="138" operator="containsText" text="STR">
      <formula>NOT(ISERROR(SEARCH(("STR"),(AE78))))</formula>
    </cfRule>
  </conditionalFormatting>
  <conditionalFormatting sqref="AE85:AE86">
    <cfRule type="containsText" dxfId="0" priority="139" operator="containsText" text="CAR">
      <formula>NOT(ISERROR(SEARCH(("CAR"),(AE85))))</formula>
    </cfRule>
  </conditionalFormatting>
  <conditionalFormatting sqref="AE85:AE86">
    <cfRule type="containsText" dxfId="1" priority="140" operator="containsText" text="AGI">
      <formula>NOT(ISERROR(SEARCH(("AGI"),(AE85))))</formula>
    </cfRule>
  </conditionalFormatting>
  <conditionalFormatting sqref="AE85:AE86">
    <cfRule type="containsText" dxfId="2" priority="141" operator="containsText" text="PER">
      <formula>NOT(ISERROR(SEARCH(("PER"),(AE85))))</formula>
    </cfRule>
  </conditionalFormatting>
  <conditionalFormatting sqref="AE85:AE86">
    <cfRule type="containsText" dxfId="3" priority="142" operator="containsText" text="WIL">
      <formula>NOT(ISERROR(SEARCH(("WIL"),(AE85))))</formula>
    </cfRule>
  </conditionalFormatting>
  <conditionalFormatting sqref="AE85:AE86">
    <cfRule type="containsText" dxfId="4" priority="143" operator="containsText" text="INT">
      <formula>NOT(ISERROR(SEARCH(("INT"),(AE85))))</formula>
    </cfRule>
  </conditionalFormatting>
  <conditionalFormatting sqref="AE85:AE86">
    <cfRule type="containsText" dxfId="5" priority="144" operator="containsText" text="STR">
      <formula>NOT(ISERROR(SEARCH(("STR"),(AE85))))</formula>
    </cfRule>
  </conditionalFormatting>
  <conditionalFormatting sqref="Z82:Z83">
    <cfRule type="containsText" dxfId="0" priority="145" operator="containsText" text="CAR">
      <formula>NOT(ISERROR(SEARCH(("CAR"),(Z82))))</formula>
    </cfRule>
  </conditionalFormatting>
  <conditionalFormatting sqref="Z82:Z83">
    <cfRule type="containsText" dxfId="1" priority="146" operator="containsText" text="AGI">
      <formula>NOT(ISERROR(SEARCH(("AGI"),(Z82))))</formula>
    </cfRule>
  </conditionalFormatting>
  <conditionalFormatting sqref="Z82:Z83">
    <cfRule type="containsText" dxfId="2" priority="147" operator="containsText" text="PER">
      <formula>NOT(ISERROR(SEARCH(("PER"),(Z82))))</formula>
    </cfRule>
  </conditionalFormatting>
  <conditionalFormatting sqref="Z82:Z83">
    <cfRule type="containsText" dxfId="3" priority="148" operator="containsText" text="WIL">
      <formula>NOT(ISERROR(SEARCH(("WIL"),(Z82))))</formula>
    </cfRule>
  </conditionalFormatting>
  <conditionalFormatting sqref="Z82:Z83">
    <cfRule type="containsText" dxfId="4" priority="149" operator="containsText" text="INT">
      <formula>NOT(ISERROR(SEARCH(("INT"),(Z82))))</formula>
    </cfRule>
  </conditionalFormatting>
  <conditionalFormatting sqref="Z82:Z83">
    <cfRule type="containsText" dxfId="5" priority="150" operator="containsText" text="STR">
      <formula>NOT(ISERROR(SEARCH(("STR"),(Z82))))</formula>
    </cfRule>
  </conditionalFormatting>
  <conditionalFormatting sqref="Z88:Z89">
    <cfRule type="containsText" dxfId="0" priority="151" operator="containsText" text="CAR">
      <formula>NOT(ISERROR(SEARCH(("CAR"),(Z88))))</formula>
    </cfRule>
  </conditionalFormatting>
  <conditionalFormatting sqref="Z88:Z89">
    <cfRule type="containsText" dxfId="1" priority="152" operator="containsText" text="AGI">
      <formula>NOT(ISERROR(SEARCH(("AGI"),(Z88))))</formula>
    </cfRule>
  </conditionalFormatting>
  <conditionalFormatting sqref="Z88:Z89">
    <cfRule type="containsText" dxfId="2" priority="153" operator="containsText" text="PER">
      <formula>NOT(ISERROR(SEARCH(("PER"),(Z88))))</formula>
    </cfRule>
  </conditionalFormatting>
  <conditionalFormatting sqref="Z88:Z89">
    <cfRule type="containsText" dxfId="3" priority="154" operator="containsText" text="WIL">
      <formula>NOT(ISERROR(SEARCH(("WIL"),(Z88))))</formula>
    </cfRule>
  </conditionalFormatting>
  <conditionalFormatting sqref="Z88:Z89">
    <cfRule type="containsText" dxfId="4" priority="155" operator="containsText" text="INT">
      <formula>NOT(ISERROR(SEARCH(("INT"),(Z88))))</formula>
    </cfRule>
  </conditionalFormatting>
  <conditionalFormatting sqref="Z88:Z89">
    <cfRule type="containsText" dxfId="5" priority="156" operator="containsText" text="STR">
      <formula>NOT(ISERROR(SEARCH(("STR"),(Z88))))</formula>
    </cfRule>
  </conditionalFormatting>
  <conditionalFormatting sqref="U88:U89">
    <cfRule type="containsText" dxfId="0" priority="157" operator="containsText" text="CAR">
      <formula>NOT(ISERROR(SEARCH(("CAR"),(U88))))</formula>
    </cfRule>
  </conditionalFormatting>
  <conditionalFormatting sqref="U88:U89">
    <cfRule type="containsText" dxfId="1" priority="158" operator="containsText" text="AGI">
      <formula>NOT(ISERROR(SEARCH(("AGI"),(U88))))</formula>
    </cfRule>
  </conditionalFormatting>
  <conditionalFormatting sqref="U88:U89">
    <cfRule type="containsText" dxfId="2" priority="159" operator="containsText" text="PER">
      <formula>NOT(ISERROR(SEARCH(("PER"),(U88))))</formula>
    </cfRule>
  </conditionalFormatting>
  <conditionalFormatting sqref="U88:U89">
    <cfRule type="containsText" dxfId="3" priority="160" operator="containsText" text="WIL">
      <formula>NOT(ISERROR(SEARCH(("WIL"),(U88))))</formula>
    </cfRule>
  </conditionalFormatting>
  <conditionalFormatting sqref="U88:U89">
    <cfRule type="containsText" dxfId="4" priority="161" operator="containsText" text="INT">
      <formula>NOT(ISERROR(SEARCH(("INT"),(U88))))</formula>
    </cfRule>
  </conditionalFormatting>
  <conditionalFormatting sqref="U88:U89">
    <cfRule type="containsText" dxfId="5" priority="162" operator="containsText" text="STR">
      <formula>NOT(ISERROR(SEARCH(("STR"),(U88))))</formula>
    </cfRule>
  </conditionalFormatting>
  <conditionalFormatting sqref="U82:U83">
    <cfRule type="containsText" dxfId="0" priority="163" operator="containsText" text="CAR">
      <formula>NOT(ISERROR(SEARCH(("CAR"),(U82))))</formula>
    </cfRule>
  </conditionalFormatting>
  <conditionalFormatting sqref="U82:U83">
    <cfRule type="containsText" dxfId="1" priority="164" operator="containsText" text="AGI">
      <formula>NOT(ISERROR(SEARCH(("AGI"),(U82))))</formula>
    </cfRule>
  </conditionalFormatting>
  <conditionalFormatting sqref="U82:U83">
    <cfRule type="containsText" dxfId="2" priority="165" operator="containsText" text="PER">
      <formula>NOT(ISERROR(SEARCH(("PER"),(U82))))</formula>
    </cfRule>
  </conditionalFormatting>
  <conditionalFormatting sqref="U82:U83">
    <cfRule type="containsText" dxfId="3" priority="166" operator="containsText" text="WIL">
      <formula>NOT(ISERROR(SEARCH(("WIL"),(U82))))</formula>
    </cfRule>
  </conditionalFormatting>
  <conditionalFormatting sqref="U82:U83">
    <cfRule type="containsText" dxfId="4" priority="167" operator="containsText" text="INT">
      <formula>NOT(ISERROR(SEARCH(("INT"),(U82))))</formula>
    </cfRule>
  </conditionalFormatting>
  <conditionalFormatting sqref="U82:U83">
    <cfRule type="containsText" dxfId="5" priority="168" operator="containsText" text="STR">
      <formula>NOT(ISERROR(SEARCH(("STR"),(U82))))</formula>
    </cfRule>
  </conditionalFormatting>
  <conditionalFormatting sqref="U76:U77">
    <cfRule type="containsText" dxfId="0" priority="169" operator="containsText" text="CAR">
      <formula>NOT(ISERROR(SEARCH(("CAR"),(U76))))</formula>
    </cfRule>
  </conditionalFormatting>
  <conditionalFormatting sqref="U76:U77">
    <cfRule type="containsText" dxfId="1" priority="170" operator="containsText" text="AGI">
      <formula>NOT(ISERROR(SEARCH(("AGI"),(U76))))</formula>
    </cfRule>
  </conditionalFormatting>
  <conditionalFormatting sqref="U76:U77">
    <cfRule type="containsText" dxfId="2" priority="171" operator="containsText" text="PER">
      <formula>NOT(ISERROR(SEARCH(("PER"),(U76))))</formula>
    </cfRule>
  </conditionalFormatting>
  <conditionalFormatting sqref="U76:U77">
    <cfRule type="containsText" dxfId="3" priority="172" operator="containsText" text="WIL">
      <formula>NOT(ISERROR(SEARCH(("WIL"),(U76))))</formula>
    </cfRule>
  </conditionalFormatting>
  <conditionalFormatting sqref="U76:U77">
    <cfRule type="containsText" dxfId="4" priority="173" operator="containsText" text="INT">
      <formula>NOT(ISERROR(SEARCH(("INT"),(U76))))</formula>
    </cfRule>
  </conditionalFormatting>
  <conditionalFormatting sqref="U76:U77">
    <cfRule type="containsText" dxfId="5" priority="174" operator="containsText" text="STR">
      <formula>NOT(ISERROR(SEARCH(("STR"),(U76))))</formula>
    </cfRule>
  </conditionalFormatting>
  <conditionalFormatting sqref="P94:P95 P100:P101 P106:P107 U94:U95 U100:U101 U106:U107">
    <cfRule type="containsText" dxfId="0" priority="175" operator="containsText" text="CAR">
      <formula>NOT(ISERROR(SEARCH(("CAR"),(P94))))</formula>
    </cfRule>
  </conditionalFormatting>
  <conditionalFormatting sqref="P94:P95 P100:P101 P106:P107 U94:U95 U100:U101 U106:U107">
    <cfRule type="containsText" dxfId="1" priority="176" operator="containsText" text="AGI">
      <formula>NOT(ISERROR(SEARCH(("AGI"),(P94))))</formula>
    </cfRule>
  </conditionalFormatting>
  <conditionalFormatting sqref="P94:P95 P100:P101 P106:P107 U94:U95 U100:U101 U106:U107">
    <cfRule type="containsText" dxfId="2" priority="177" operator="containsText" text="PER">
      <formula>NOT(ISERROR(SEARCH(("PER"),(P94))))</formula>
    </cfRule>
  </conditionalFormatting>
  <conditionalFormatting sqref="P94:P95 P100:P101 P106:P107 U94:U95 U100:U101 U106:U107">
    <cfRule type="containsText" dxfId="3" priority="178" operator="containsText" text="WIL">
      <formula>NOT(ISERROR(SEARCH(("WIL"),(P94))))</formula>
    </cfRule>
  </conditionalFormatting>
  <conditionalFormatting sqref="P94:P95 P100:P101 P106:P107 U94:U95 U100:U101 U106:U107">
    <cfRule type="containsText" dxfId="4" priority="179" operator="containsText" text="INT">
      <formula>NOT(ISERROR(SEARCH(("INT"),(P94))))</formula>
    </cfRule>
  </conditionalFormatting>
  <conditionalFormatting sqref="P94:P95 P100:P101 P106:P107 U94:U95 U100:U101 U106:U107">
    <cfRule type="containsText" dxfId="5" priority="180" operator="containsText" text="STR">
      <formula>NOT(ISERROR(SEARCH(("STR"),(P94))))</formula>
    </cfRule>
  </conditionalFormatting>
  <conditionalFormatting sqref="Z106:Z107">
    <cfRule type="containsText" dxfId="0" priority="181" operator="containsText" text="CAR">
      <formula>NOT(ISERROR(SEARCH(("CAR"),(Z106))))</formula>
    </cfRule>
  </conditionalFormatting>
  <conditionalFormatting sqref="Z106:Z107">
    <cfRule type="containsText" dxfId="1" priority="182" operator="containsText" text="AGI">
      <formula>NOT(ISERROR(SEARCH(("AGI"),(Z106))))</formula>
    </cfRule>
  </conditionalFormatting>
  <conditionalFormatting sqref="Z106:Z107">
    <cfRule type="containsText" dxfId="2" priority="183" operator="containsText" text="PER">
      <formula>NOT(ISERROR(SEARCH(("PER"),(Z106))))</formula>
    </cfRule>
  </conditionalFormatting>
  <conditionalFormatting sqref="Z106:Z107">
    <cfRule type="containsText" dxfId="3" priority="184" operator="containsText" text="WIL">
      <formula>NOT(ISERROR(SEARCH(("WIL"),(Z106))))</formula>
    </cfRule>
  </conditionalFormatting>
  <conditionalFormatting sqref="Z106:Z107">
    <cfRule type="containsText" dxfId="4" priority="185" operator="containsText" text="INT">
      <formula>NOT(ISERROR(SEARCH(("INT"),(Z106))))</formula>
    </cfRule>
  </conditionalFormatting>
  <conditionalFormatting sqref="Z106:Z107">
    <cfRule type="containsText" dxfId="5" priority="186" operator="containsText" text="STR">
      <formula>NOT(ISERROR(SEARCH(("STR"),(Z106))))</formula>
    </cfRule>
  </conditionalFormatting>
  <conditionalFormatting sqref="AE94:AE95">
    <cfRule type="containsText" dxfId="6" priority="187" operator="containsText" text="CAR">
      <formula>NOT(ISERROR(SEARCH(("CAR"),(AE94))))</formula>
    </cfRule>
  </conditionalFormatting>
  <conditionalFormatting sqref="AE94:AE95">
    <cfRule type="containsText" dxfId="1" priority="188" operator="containsText" text="AGI">
      <formula>NOT(ISERROR(SEARCH(("AGI"),(AE94))))</formula>
    </cfRule>
  </conditionalFormatting>
  <conditionalFormatting sqref="AE94:AE95">
    <cfRule type="containsText" dxfId="2" priority="189" operator="containsText" text="PER">
      <formula>NOT(ISERROR(SEARCH(("PER"),(AE94))))</formula>
    </cfRule>
  </conditionalFormatting>
  <conditionalFormatting sqref="AE94:AE95">
    <cfRule type="containsText" dxfId="3" priority="190" operator="containsText" text="WIL">
      <formula>NOT(ISERROR(SEARCH(("WIL"),(AE94))))</formula>
    </cfRule>
  </conditionalFormatting>
  <conditionalFormatting sqref="AE94:AE95">
    <cfRule type="containsText" dxfId="4" priority="191" operator="containsText" text="INT">
      <formula>NOT(ISERROR(SEARCH(("INT"),(AE94))))</formula>
    </cfRule>
  </conditionalFormatting>
  <conditionalFormatting sqref="AE94:AE95">
    <cfRule type="containsText" dxfId="5" priority="192" operator="containsText" text="STR">
      <formula>NOT(ISERROR(SEARCH(("STR"),(AE94))))</formula>
    </cfRule>
  </conditionalFormatting>
  <conditionalFormatting sqref="Z100:Z101">
    <cfRule type="containsText" dxfId="0" priority="193" operator="containsText" text="CAR">
      <formula>NOT(ISERROR(SEARCH(("CAR"),(Z100))))</formula>
    </cfRule>
  </conditionalFormatting>
  <conditionalFormatting sqref="Z100:Z101">
    <cfRule type="containsText" dxfId="1" priority="194" operator="containsText" text="AGI">
      <formula>NOT(ISERROR(SEARCH(("AGI"),(Z100))))</formula>
    </cfRule>
  </conditionalFormatting>
  <conditionalFormatting sqref="Z100:Z101">
    <cfRule type="containsText" dxfId="2" priority="195" operator="containsText" text="PER">
      <formula>NOT(ISERROR(SEARCH(("PER"),(Z100))))</formula>
    </cfRule>
  </conditionalFormatting>
  <conditionalFormatting sqref="Z100:Z101">
    <cfRule type="containsText" dxfId="3" priority="196" operator="containsText" text="WIL">
      <formula>NOT(ISERROR(SEARCH(("WIL"),(Z100))))</formula>
    </cfRule>
  </conditionalFormatting>
  <conditionalFormatting sqref="Z100:Z101">
    <cfRule type="containsText" dxfId="4" priority="197" operator="containsText" text="INT">
      <formula>NOT(ISERROR(SEARCH(("INT"),(Z100))))</formula>
    </cfRule>
  </conditionalFormatting>
  <conditionalFormatting sqref="Z100:Z101">
    <cfRule type="containsText" dxfId="5" priority="198" operator="containsText" text="STR">
      <formula>NOT(ISERROR(SEARCH(("STR"),(Z100))))</formula>
    </cfRule>
  </conditionalFormatting>
  <conditionalFormatting sqref="Z94:Z95">
    <cfRule type="containsText" dxfId="0" priority="199" operator="containsText" text="CAR">
      <formula>NOT(ISERROR(SEARCH(("CAR"),(Z94))))</formula>
    </cfRule>
  </conditionalFormatting>
  <conditionalFormatting sqref="Z94:Z95">
    <cfRule type="containsText" dxfId="1" priority="200" operator="containsText" text="AGI">
      <formula>NOT(ISERROR(SEARCH(("AGI"),(Z94))))</formula>
    </cfRule>
  </conditionalFormatting>
  <conditionalFormatting sqref="Z94:Z95">
    <cfRule type="containsText" dxfId="2" priority="201" operator="containsText" text="PER">
      <formula>NOT(ISERROR(SEARCH(("PER"),(Z94))))</formula>
    </cfRule>
  </conditionalFormatting>
  <conditionalFormatting sqref="Z94:Z95">
    <cfRule type="containsText" dxfId="3" priority="202" operator="containsText" text="WIL">
      <formula>NOT(ISERROR(SEARCH(("WIL"),(Z94))))</formula>
    </cfRule>
  </conditionalFormatting>
  <conditionalFormatting sqref="Z94:Z95">
    <cfRule type="containsText" dxfId="4" priority="203" operator="containsText" text="INT">
      <formula>NOT(ISERROR(SEARCH(("INT"),(Z94))))</formula>
    </cfRule>
  </conditionalFormatting>
  <conditionalFormatting sqref="Z94:Z95">
    <cfRule type="containsText" dxfId="5" priority="204" operator="containsText" text="STR">
      <formula>NOT(ISERROR(SEARCH(("STR"),(Z94))))</formula>
    </cfRule>
  </conditionalFormatting>
  <conditionalFormatting sqref="AE100:AE101">
    <cfRule type="containsText" dxfId="6" priority="205" operator="containsText" text="CAR">
      <formula>NOT(ISERROR(SEARCH(("CAR"),(AE100))))</formula>
    </cfRule>
  </conditionalFormatting>
  <conditionalFormatting sqref="AE100:AE101">
    <cfRule type="containsText" dxfId="1" priority="206" operator="containsText" text="AGI">
      <formula>NOT(ISERROR(SEARCH(("AGI"),(AE100))))</formula>
    </cfRule>
  </conditionalFormatting>
  <conditionalFormatting sqref="AE100:AE101">
    <cfRule type="containsText" dxfId="2" priority="207" operator="containsText" text="PER">
      <formula>NOT(ISERROR(SEARCH(("PER"),(AE100))))</formula>
    </cfRule>
  </conditionalFormatting>
  <conditionalFormatting sqref="AE100:AE101">
    <cfRule type="containsText" dxfId="3" priority="208" operator="containsText" text="WIL">
      <formula>NOT(ISERROR(SEARCH(("WIL"),(AE100))))</formula>
    </cfRule>
  </conditionalFormatting>
  <conditionalFormatting sqref="AE100:AE101">
    <cfRule type="containsText" dxfId="4" priority="209" operator="containsText" text="INT">
      <formula>NOT(ISERROR(SEARCH(("INT"),(AE100))))</formula>
    </cfRule>
  </conditionalFormatting>
  <conditionalFormatting sqref="AE100:AE101">
    <cfRule type="containsText" dxfId="5" priority="210" operator="containsText" text="STR">
      <formula>NOT(ISERROR(SEARCH(("STR"),(AE100))))</formula>
    </cfRule>
  </conditionalFormatting>
  <conditionalFormatting sqref="P22:P23 U22:U23">
    <cfRule type="containsText" dxfId="0" priority="211" operator="containsText" text="CAR">
      <formula>NOT(ISERROR(SEARCH(("CAR"),(P22))))</formula>
    </cfRule>
  </conditionalFormatting>
  <conditionalFormatting sqref="P22:P23 U22:U23">
    <cfRule type="containsText" dxfId="1" priority="212" operator="containsText" text="AGI">
      <formula>NOT(ISERROR(SEARCH(("AGI"),(P22))))</formula>
    </cfRule>
  </conditionalFormatting>
  <conditionalFormatting sqref="P22:P23 U22:U23">
    <cfRule type="containsText" dxfId="2" priority="213" operator="containsText" text="PER">
      <formula>NOT(ISERROR(SEARCH(("PER"),(P22))))</formula>
    </cfRule>
  </conditionalFormatting>
  <conditionalFormatting sqref="P22:P23 U22:U23">
    <cfRule type="containsText" dxfId="3" priority="214" operator="containsText" text="WIL">
      <formula>NOT(ISERROR(SEARCH(("WIL"),(P22))))</formula>
    </cfRule>
  </conditionalFormatting>
  <conditionalFormatting sqref="P22:P23 U22:U23">
    <cfRule type="containsText" dxfId="4" priority="215" operator="containsText" text="INT">
      <formula>NOT(ISERROR(SEARCH(("INT"),(P22))))</formula>
    </cfRule>
  </conditionalFormatting>
  <conditionalFormatting sqref="P22:P23 U22:U23">
    <cfRule type="containsText" dxfId="5" priority="216" operator="containsText" text="STR">
      <formula>NOT(ISERROR(SEARCH(("STR"),(P22))))</formula>
    </cfRule>
  </conditionalFormatting>
  <conditionalFormatting sqref="Z22:Z23">
    <cfRule type="containsText" dxfId="0" priority="217" operator="containsText" text="CAR">
      <formula>NOT(ISERROR(SEARCH(("CAR"),(Z22))))</formula>
    </cfRule>
  </conditionalFormatting>
  <conditionalFormatting sqref="Z22:Z23">
    <cfRule type="containsText" dxfId="1" priority="218" operator="containsText" text="AGI">
      <formula>NOT(ISERROR(SEARCH(("AGI"),(Z22))))</formula>
    </cfRule>
  </conditionalFormatting>
  <conditionalFormatting sqref="Z22:Z23">
    <cfRule type="containsText" dxfId="2" priority="219" operator="containsText" text="PER">
      <formula>NOT(ISERROR(SEARCH(("PER"),(Z22))))</formula>
    </cfRule>
  </conditionalFormatting>
  <conditionalFormatting sqref="Z22:Z23">
    <cfRule type="containsText" dxfId="3" priority="220" operator="containsText" text="WIL">
      <formula>NOT(ISERROR(SEARCH(("WIL"),(Z22))))</formula>
    </cfRule>
  </conditionalFormatting>
  <conditionalFormatting sqref="Z22:Z23">
    <cfRule type="containsText" dxfId="4" priority="221" operator="containsText" text="INT">
      <formula>NOT(ISERROR(SEARCH(("INT"),(Z22))))</formula>
    </cfRule>
  </conditionalFormatting>
  <conditionalFormatting sqref="Z22:Z23">
    <cfRule type="containsText" dxfId="5" priority="222" operator="containsText" text="STR">
      <formula>NOT(ISERROR(SEARCH(("STR"),(Z22))))</formula>
    </cfRule>
  </conditionalFormatting>
  <conditionalFormatting sqref="P28:P29 U28:U29">
    <cfRule type="containsText" dxfId="0" priority="223" operator="containsText" text="CAR">
      <formula>NOT(ISERROR(SEARCH(("CAR"),(P28))))</formula>
    </cfRule>
  </conditionalFormatting>
  <conditionalFormatting sqref="P28:P29 U28:U29">
    <cfRule type="containsText" dxfId="1" priority="224" operator="containsText" text="AGI">
      <formula>NOT(ISERROR(SEARCH(("AGI"),(P28))))</formula>
    </cfRule>
  </conditionalFormatting>
  <conditionalFormatting sqref="P28:P29 U28:U29">
    <cfRule type="containsText" dxfId="2" priority="225" operator="containsText" text="PER">
      <formula>NOT(ISERROR(SEARCH(("PER"),(P28))))</formula>
    </cfRule>
  </conditionalFormatting>
  <conditionalFormatting sqref="P28:P29 U28:U29">
    <cfRule type="containsText" dxfId="3" priority="226" operator="containsText" text="WIL">
      <formula>NOT(ISERROR(SEARCH(("WIL"),(P28))))</formula>
    </cfRule>
  </conditionalFormatting>
  <conditionalFormatting sqref="P28:P29 U28:U29">
    <cfRule type="containsText" dxfId="4" priority="227" operator="containsText" text="INT">
      <formula>NOT(ISERROR(SEARCH(("INT"),(P28))))</formula>
    </cfRule>
  </conditionalFormatting>
  <conditionalFormatting sqref="P28:P29 U28:U29">
    <cfRule type="containsText" dxfId="5" priority="228" operator="containsText" text="STR">
      <formula>NOT(ISERROR(SEARCH(("STR"),(P28))))</formula>
    </cfRule>
  </conditionalFormatting>
  <conditionalFormatting sqref="Z28:Z29">
    <cfRule type="containsText" dxfId="0" priority="229" operator="containsText" text="CAR">
      <formula>NOT(ISERROR(SEARCH(("CAR"),(Z28))))</formula>
    </cfRule>
  </conditionalFormatting>
  <conditionalFormatting sqref="Z28:Z29">
    <cfRule type="containsText" dxfId="1" priority="230" operator="containsText" text="AGI">
      <formula>NOT(ISERROR(SEARCH(("AGI"),(Z28))))</formula>
    </cfRule>
  </conditionalFormatting>
  <conditionalFormatting sqref="Z28:Z29">
    <cfRule type="containsText" dxfId="2" priority="231" operator="containsText" text="PER">
      <formula>NOT(ISERROR(SEARCH(("PER"),(Z28))))</formula>
    </cfRule>
  </conditionalFormatting>
  <conditionalFormatting sqref="Z28:Z29">
    <cfRule type="containsText" dxfId="3" priority="232" operator="containsText" text="WIL">
      <formula>NOT(ISERROR(SEARCH(("WIL"),(Z28))))</formula>
    </cfRule>
  </conditionalFormatting>
  <conditionalFormatting sqref="Z28:Z29">
    <cfRule type="containsText" dxfId="4" priority="233" operator="containsText" text="INT">
      <formula>NOT(ISERROR(SEARCH(("INT"),(Z28))))</formula>
    </cfRule>
  </conditionalFormatting>
  <conditionalFormatting sqref="Z28:Z29">
    <cfRule type="containsText" dxfId="5" priority="234" operator="containsText" text="STR">
      <formula>NOT(ISERROR(SEARCH(("STR"),(Z28))))</formula>
    </cfRule>
  </conditionalFormatting>
  <conditionalFormatting sqref="AE10:AE11">
    <cfRule type="containsText" dxfId="6" priority="235" operator="containsText" text="CAR">
      <formula>NOT(ISERROR(SEARCH(("CAR"),(AE10))))</formula>
    </cfRule>
  </conditionalFormatting>
  <conditionalFormatting sqref="AE10:AE11">
    <cfRule type="containsText" dxfId="1" priority="236" operator="containsText" text="AGI">
      <formula>NOT(ISERROR(SEARCH(("AGI"),(AE10))))</formula>
    </cfRule>
  </conditionalFormatting>
  <conditionalFormatting sqref="AE10:AE11">
    <cfRule type="containsText" dxfId="2" priority="237" operator="containsText" text="PER">
      <formula>NOT(ISERROR(SEARCH(("PER"),(AE10))))</formula>
    </cfRule>
  </conditionalFormatting>
  <conditionalFormatting sqref="AE10:AE11">
    <cfRule type="containsText" dxfId="3" priority="238" operator="containsText" text="WIL">
      <formula>NOT(ISERROR(SEARCH(("WIL"),(AE10))))</formula>
    </cfRule>
  </conditionalFormatting>
  <conditionalFormatting sqref="AE10:AE11">
    <cfRule type="containsText" dxfId="4" priority="239" operator="containsText" text="INT">
      <formula>NOT(ISERROR(SEARCH(("INT"),(AE10))))</formula>
    </cfRule>
  </conditionalFormatting>
  <conditionalFormatting sqref="AE10:AE11">
    <cfRule type="containsText" dxfId="5" priority="240" operator="containsText" text="STR">
      <formula>NOT(ISERROR(SEARCH(("STR"),(AE10))))</formula>
    </cfRule>
  </conditionalFormatting>
  <conditionalFormatting sqref="AE16:AE17">
    <cfRule type="containsText" dxfId="6" priority="241" operator="containsText" text="CAR">
      <formula>NOT(ISERROR(SEARCH(("CAR"),(AE16))))</formula>
    </cfRule>
  </conditionalFormatting>
  <conditionalFormatting sqref="AE16:AE17">
    <cfRule type="containsText" dxfId="1" priority="242" operator="containsText" text="AGI">
      <formula>NOT(ISERROR(SEARCH(("AGI"),(AE16))))</formula>
    </cfRule>
  </conditionalFormatting>
  <conditionalFormatting sqref="AE16:AE17">
    <cfRule type="containsText" dxfId="2" priority="243" operator="containsText" text="PER">
      <formula>NOT(ISERROR(SEARCH(("PER"),(AE16))))</formula>
    </cfRule>
  </conditionalFormatting>
  <conditionalFormatting sqref="AE16:AE17">
    <cfRule type="containsText" dxfId="3" priority="244" operator="containsText" text="WIL">
      <formula>NOT(ISERROR(SEARCH(("WIL"),(AE16))))</formula>
    </cfRule>
  </conditionalFormatting>
  <conditionalFormatting sqref="AE16:AE17">
    <cfRule type="containsText" dxfId="4" priority="245" operator="containsText" text="INT">
      <formula>NOT(ISERROR(SEARCH(("INT"),(AE16))))</formula>
    </cfRule>
  </conditionalFormatting>
  <conditionalFormatting sqref="AE16:AE17">
    <cfRule type="containsText" dxfId="5" priority="246" operator="containsText" text="STR">
      <formula>NOT(ISERROR(SEARCH(("STR"),(AE16))))</formula>
    </cfRule>
  </conditionalFormatting>
  <conditionalFormatting sqref="P34:P35 U34:U35">
    <cfRule type="containsText" dxfId="0" priority="247" operator="containsText" text="CAR">
      <formula>NOT(ISERROR(SEARCH(("CAR"),(P34))))</formula>
    </cfRule>
  </conditionalFormatting>
  <conditionalFormatting sqref="P34:P35 U34:U35">
    <cfRule type="containsText" dxfId="1" priority="248" operator="containsText" text="AGI">
      <formula>NOT(ISERROR(SEARCH(("AGI"),(P34))))</formula>
    </cfRule>
  </conditionalFormatting>
  <conditionalFormatting sqref="P34:P35 U34:U35">
    <cfRule type="containsText" dxfId="2" priority="249" operator="containsText" text="PER">
      <formula>NOT(ISERROR(SEARCH(("PER"),(P34))))</formula>
    </cfRule>
  </conditionalFormatting>
  <conditionalFormatting sqref="P34:P35 U34:U35">
    <cfRule type="containsText" dxfId="3" priority="250" operator="containsText" text="WIL">
      <formula>NOT(ISERROR(SEARCH(("WIL"),(P34))))</formula>
    </cfRule>
  </conditionalFormatting>
  <conditionalFormatting sqref="P34:P35 U34:U35">
    <cfRule type="containsText" dxfId="4" priority="251" operator="containsText" text="INT">
      <formula>NOT(ISERROR(SEARCH(("INT"),(P34))))</formula>
    </cfRule>
  </conditionalFormatting>
  <conditionalFormatting sqref="P34:P35 U34:U35">
    <cfRule type="containsText" dxfId="5" priority="252" operator="containsText" text="STR">
      <formula>NOT(ISERROR(SEARCH(("STR"),(P34))))</formula>
    </cfRule>
  </conditionalFormatting>
  <conditionalFormatting sqref="Z34:Z35">
    <cfRule type="containsText" dxfId="0" priority="253" operator="containsText" text="CAR">
      <formula>NOT(ISERROR(SEARCH(("CAR"),(Z34))))</formula>
    </cfRule>
  </conditionalFormatting>
  <conditionalFormatting sqref="Z34:Z35">
    <cfRule type="containsText" dxfId="1" priority="254" operator="containsText" text="AGI">
      <formula>NOT(ISERROR(SEARCH(("AGI"),(Z34))))</formula>
    </cfRule>
  </conditionalFormatting>
  <conditionalFormatting sqref="Z34:Z35">
    <cfRule type="containsText" dxfId="2" priority="255" operator="containsText" text="PER">
      <formula>NOT(ISERROR(SEARCH(("PER"),(Z34))))</formula>
    </cfRule>
  </conditionalFormatting>
  <conditionalFormatting sqref="Z34:Z35">
    <cfRule type="containsText" dxfId="3" priority="256" operator="containsText" text="WIL">
      <formula>NOT(ISERROR(SEARCH(("WIL"),(Z34))))</formula>
    </cfRule>
  </conditionalFormatting>
  <conditionalFormatting sqref="Z34:Z35">
    <cfRule type="containsText" dxfId="4" priority="257" operator="containsText" text="INT">
      <formula>NOT(ISERROR(SEARCH(("INT"),(Z34))))</formula>
    </cfRule>
  </conditionalFormatting>
  <conditionalFormatting sqref="Z34:Z35">
    <cfRule type="containsText" dxfId="5" priority="258" operator="containsText" text="STR">
      <formula>NOT(ISERROR(SEARCH(("STR"),(Z34))))</formula>
    </cfRule>
  </conditionalFormatting>
  <conditionalFormatting sqref="AE28:AE29">
    <cfRule type="containsText" dxfId="6" priority="259" operator="containsText" text="CAR">
      <formula>NOT(ISERROR(SEARCH(("CAR"),(AE28))))</formula>
    </cfRule>
  </conditionalFormatting>
  <conditionalFormatting sqref="AE28:AE29">
    <cfRule type="containsText" dxfId="1" priority="260" operator="containsText" text="AGI">
      <formula>NOT(ISERROR(SEARCH(("AGI"),(AE28))))</formula>
    </cfRule>
  </conditionalFormatting>
  <conditionalFormatting sqref="AE28:AE29">
    <cfRule type="containsText" dxfId="2" priority="261" operator="containsText" text="PER">
      <formula>NOT(ISERROR(SEARCH(("PER"),(AE28))))</formula>
    </cfRule>
  </conditionalFormatting>
  <conditionalFormatting sqref="AE28:AE29">
    <cfRule type="containsText" dxfId="3" priority="262" operator="containsText" text="WIL">
      <formula>NOT(ISERROR(SEARCH(("WIL"),(AE28))))</formula>
    </cfRule>
  </conditionalFormatting>
  <conditionalFormatting sqref="AE28:AE29">
    <cfRule type="containsText" dxfId="4" priority="263" operator="containsText" text="INT">
      <formula>NOT(ISERROR(SEARCH(("INT"),(AE28))))</formula>
    </cfRule>
  </conditionalFormatting>
  <conditionalFormatting sqref="AE28:AE29">
    <cfRule type="containsText" dxfId="5" priority="264" operator="containsText" text="STR">
      <formula>NOT(ISERROR(SEARCH(("STR"),(AE28))))</formula>
    </cfRule>
  </conditionalFormatting>
  <conditionalFormatting sqref="AE4:AE5">
    <cfRule type="containsText" dxfId="6" priority="265" operator="containsText" text="CAR">
      <formula>NOT(ISERROR(SEARCH(("CAR"),(AE4))))</formula>
    </cfRule>
  </conditionalFormatting>
  <conditionalFormatting sqref="AE4:AE5">
    <cfRule type="containsText" dxfId="1" priority="266" operator="containsText" text="AGI">
      <formula>NOT(ISERROR(SEARCH(("AGI"),(AE4))))</formula>
    </cfRule>
  </conditionalFormatting>
  <conditionalFormatting sqref="AE4:AE5">
    <cfRule type="containsText" dxfId="2" priority="267" operator="containsText" text="PER">
      <formula>NOT(ISERROR(SEARCH(("PER"),(AE4))))</formula>
    </cfRule>
  </conditionalFormatting>
  <conditionalFormatting sqref="AE4:AE5">
    <cfRule type="containsText" dxfId="3" priority="268" operator="containsText" text="WIL">
      <formula>NOT(ISERROR(SEARCH(("WIL"),(AE4))))</formula>
    </cfRule>
  </conditionalFormatting>
  <conditionalFormatting sqref="AE4:AE5">
    <cfRule type="containsText" dxfId="4" priority="269" operator="containsText" text="INT">
      <formula>NOT(ISERROR(SEARCH(("INT"),(AE4))))</formula>
    </cfRule>
  </conditionalFormatting>
  <conditionalFormatting sqref="AE4:AE5">
    <cfRule type="containsText" dxfId="5" priority="270" operator="containsText" text="STR">
      <formula>NOT(ISERROR(SEARCH(("STR"),(AE4))))</formula>
    </cfRule>
  </conditionalFormatting>
  <conditionalFormatting sqref="AE22:AE23">
    <cfRule type="containsText" dxfId="6" priority="271" operator="containsText" text="CAR">
      <formula>NOT(ISERROR(SEARCH(("CAR"),(AE22))))</formula>
    </cfRule>
  </conditionalFormatting>
  <conditionalFormatting sqref="AE22:AE23">
    <cfRule type="containsText" dxfId="1" priority="272" operator="containsText" text="AGI">
      <formula>NOT(ISERROR(SEARCH(("AGI"),(AE22))))</formula>
    </cfRule>
  </conditionalFormatting>
  <conditionalFormatting sqref="AE22:AE23">
    <cfRule type="containsText" dxfId="2" priority="273" operator="containsText" text="PER">
      <formula>NOT(ISERROR(SEARCH(("PER"),(AE22))))</formula>
    </cfRule>
  </conditionalFormatting>
  <conditionalFormatting sqref="AE22:AE23">
    <cfRule type="containsText" dxfId="3" priority="274" operator="containsText" text="WIL">
      <formula>NOT(ISERROR(SEARCH(("WIL"),(AE22))))</formula>
    </cfRule>
  </conditionalFormatting>
  <conditionalFormatting sqref="AE22:AE23">
    <cfRule type="containsText" dxfId="4" priority="275" operator="containsText" text="INT">
      <formula>NOT(ISERROR(SEARCH(("INT"),(AE22))))</formula>
    </cfRule>
  </conditionalFormatting>
  <conditionalFormatting sqref="AE22:AE23">
    <cfRule type="containsText" dxfId="5" priority="276" operator="containsText" text="STR">
      <formula>NOT(ISERROR(SEARCH(("STR"),(AE22))))</formula>
    </cfRule>
  </conditionalFormatting>
  <conditionalFormatting sqref="AE34:AE35">
    <cfRule type="containsText" dxfId="6" priority="277" operator="containsText" text="CAR">
      <formula>NOT(ISERROR(SEARCH(("CAR"),(AE34))))</formula>
    </cfRule>
  </conditionalFormatting>
  <conditionalFormatting sqref="AE34:AE35">
    <cfRule type="containsText" dxfId="1" priority="278" operator="containsText" text="AGI">
      <formula>NOT(ISERROR(SEARCH(("AGI"),(AE34))))</formula>
    </cfRule>
  </conditionalFormatting>
  <conditionalFormatting sqref="AE34:AE35">
    <cfRule type="containsText" dxfId="2" priority="279" operator="containsText" text="PER">
      <formula>NOT(ISERROR(SEARCH(("PER"),(AE34))))</formula>
    </cfRule>
  </conditionalFormatting>
  <conditionalFormatting sqref="AE34:AE35">
    <cfRule type="containsText" dxfId="3" priority="280" operator="containsText" text="WIL">
      <formula>NOT(ISERROR(SEARCH(("WIL"),(AE34))))</formula>
    </cfRule>
  </conditionalFormatting>
  <conditionalFormatting sqref="AE34:AE35">
    <cfRule type="containsText" dxfId="4" priority="281" operator="containsText" text="INT">
      <formula>NOT(ISERROR(SEARCH(("INT"),(AE34))))</formula>
    </cfRule>
  </conditionalFormatting>
  <conditionalFormatting sqref="AE34:AE35">
    <cfRule type="containsText" dxfId="5" priority="282" operator="containsText" text="STR">
      <formula>NOT(ISERROR(SEARCH(("STR"),(AE34))))</formula>
    </cfRule>
  </conditionalFormatting>
  <conditionalFormatting sqref="P112:P113 P118:P119 P124:P125 U112:U113 U118:U119 U124:U125">
    <cfRule type="containsText" dxfId="0" priority="283" operator="containsText" text="CAR">
      <formula>NOT(ISERROR(SEARCH(("CAR"),(P112))))</formula>
    </cfRule>
  </conditionalFormatting>
  <conditionalFormatting sqref="P112:P113 P118:P119 P124:P125 U112:U113 U118:U119 U124:U125">
    <cfRule type="containsText" dxfId="1" priority="284" operator="containsText" text="AGI">
      <formula>NOT(ISERROR(SEARCH(("AGI"),(P112))))</formula>
    </cfRule>
  </conditionalFormatting>
  <conditionalFormatting sqref="P112:P113 P118:P119 P124:P125 U112:U113 U118:U119 U124:U125">
    <cfRule type="containsText" dxfId="2" priority="285" operator="containsText" text="PER">
      <formula>NOT(ISERROR(SEARCH(("PER"),(P112))))</formula>
    </cfRule>
  </conditionalFormatting>
  <conditionalFormatting sqref="P112:P113 P118:P119 P124:P125 U112:U113 U118:U119 U124:U125">
    <cfRule type="containsText" dxfId="3" priority="286" operator="containsText" text="WIL">
      <formula>NOT(ISERROR(SEARCH(("WIL"),(P112))))</formula>
    </cfRule>
  </conditionalFormatting>
  <conditionalFormatting sqref="P112:P113 P118:P119 P124:P125 U112:U113 U118:U119 U124:U125">
    <cfRule type="containsText" dxfId="4" priority="287" operator="containsText" text="INT">
      <formula>NOT(ISERROR(SEARCH(("INT"),(P112))))</formula>
    </cfRule>
  </conditionalFormatting>
  <conditionalFormatting sqref="P112:P113 P118:P119 P124:P125 U112:U113 U118:U119 U124:U125">
    <cfRule type="containsText" dxfId="5" priority="288" operator="containsText" text="STR">
      <formula>NOT(ISERROR(SEARCH(("STR"),(P112))))</formula>
    </cfRule>
  </conditionalFormatting>
  <conditionalFormatting sqref="Z124:Z125">
    <cfRule type="containsText" dxfId="0" priority="289" operator="containsText" text="CAR">
      <formula>NOT(ISERROR(SEARCH(("CAR"),(Z124))))</formula>
    </cfRule>
  </conditionalFormatting>
  <conditionalFormatting sqref="Z124:Z125">
    <cfRule type="containsText" dxfId="1" priority="290" operator="containsText" text="AGI">
      <formula>NOT(ISERROR(SEARCH(("AGI"),(Z124))))</formula>
    </cfRule>
  </conditionalFormatting>
  <conditionalFormatting sqref="Z124:Z125">
    <cfRule type="containsText" dxfId="2" priority="291" operator="containsText" text="PER">
      <formula>NOT(ISERROR(SEARCH(("PER"),(Z124))))</formula>
    </cfRule>
  </conditionalFormatting>
  <conditionalFormatting sqref="Z124:Z125">
    <cfRule type="containsText" dxfId="3" priority="292" operator="containsText" text="WIL">
      <formula>NOT(ISERROR(SEARCH(("WIL"),(Z124))))</formula>
    </cfRule>
  </conditionalFormatting>
  <conditionalFormatting sqref="Z124:Z125">
    <cfRule type="containsText" dxfId="4" priority="293" operator="containsText" text="INT">
      <formula>NOT(ISERROR(SEARCH(("INT"),(Z124))))</formula>
    </cfRule>
  </conditionalFormatting>
  <conditionalFormatting sqref="Z124:Z125">
    <cfRule type="containsText" dxfId="5" priority="294" operator="containsText" text="STR">
      <formula>NOT(ISERROR(SEARCH(("STR"),(Z124))))</formula>
    </cfRule>
  </conditionalFormatting>
  <conditionalFormatting sqref="Z118:Z119">
    <cfRule type="containsText" dxfId="0" priority="295" operator="containsText" text="CAR">
      <formula>NOT(ISERROR(SEARCH(("CAR"),(Z118))))</formula>
    </cfRule>
  </conditionalFormatting>
  <conditionalFormatting sqref="Z118:Z119">
    <cfRule type="containsText" dxfId="1" priority="296" operator="containsText" text="AGI">
      <formula>NOT(ISERROR(SEARCH(("AGI"),(Z118))))</formula>
    </cfRule>
  </conditionalFormatting>
  <conditionalFormatting sqref="Z118:Z119">
    <cfRule type="containsText" dxfId="2" priority="297" operator="containsText" text="PER">
      <formula>NOT(ISERROR(SEARCH(("PER"),(Z118))))</formula>
    </cfRule>
  </conditionalFormatting>
  <conditionalFormatting sqref="Z118:Z119">
    <cfRule type="containsText" dxfId="3" priority="298" operator="containsText" text="WIL">
      <formula>NOT(ISERROR(SEARCH(("WIL"),(Z118))))</formula>
    </cfRule>
  </conditionalFormatting>
  <conditionalFormatting sqref="Z118:Z119">
    <cfRule type="containsText" dxfId="4" priority="299" operator="containsText" text="INT">
      <formula>NOT(ISERROR(SEARCH(("INT"),(Z118))))</formula>
    </cfRule>
  </conditionalFormatting>
  <conditionalFormatting sqref="Z118:Z119">
    <cfRule type="containsText" dxfId="5" priority="300" operator="containsText" text="STR">
      <formula>NOT(ISERROR(SEARCH(("STR"),(Z118))))</formula>
    </cfRule>
  </conditionalFormatting>
  <conditionalFormatting sqref="Z112:Z113">
    <cfRule type="containsText" dxfId="0" priority="301" operator="containsText" text="CAR">
      <formula>NOT(ISERROR(SEARCH(("CAR"),(Z112))))</formula>
    </cfRule>
  </conditionalFormatting>
  <conditionalFormatting sqref="Z112:Z113">
    <cfRule type="containsText" dxfId="1" priority="302" operator="containsText" text="AGI">
      <formula>NOT(ISERROR(SEARCH(("AGI"),(Z112))))</formula>
    </cfRule>
  </conditionalFormatting>
  <conditionalFormatting sqref="Z112:Z113">
    <cfRule type="containsText" dxfId="2" priority="303" operator="containsText" text="PER">
      <formula>NOT(ISERROR(SEARCH(("PER"),(Z112))))</formula>
    </cfRule>
  </conditionalFormatting>
  <conditionalFormatting sqref="Z112:Z113">
    <cfRule type="containsText" dxfId="3" priority="304" operator="containsText" text="WIL">
      <formula>NOT(ISERROR(SEARCH(("WIL"),(Z112))))</formula>
    </cfRule>
  </conditionalFormatting>
  <conditionalFormatting sqref="Z112:Z113">
    <cfRule type="containsText" dxfId="4" priority="305" operator="containsText" text="INT">
      <formula>NOT(ISERROR(SEARCH(("INT"),(Z112))))</formula>
    </cfRule>
  </conditionalFormatting>
  <conditionalFormatting sqref="Z112:Z113">
    <cfRule type="containsText" dxfId="5" priority="306" operator="containsText" text="STR">
      <formula>NOT(ISERROR(SEARCH(("STR"),(Z112))))</formula>
    </cfRule>
  </conditionalFormatting>
  <conditionalFormatting sqref="AE106:AE107">
    <cfRule type="containsText" dxfId="6" priority="307" operator="containsText" text="CAR">
      <formula>NOT(ISERROR(SEARCH(("CAR"),(AE106))))</formula>
    </cfRule>
  </conditionalFormatting>
  <conditionalFormatting sqref="AE106:AE107">
    <cfRule type="containsText" dxfId="1" priority="308" operator="containsText" text="AGI">
      <formula>NOT(ISERROR(SEARCH(("AGI"),(AE106))))</formula>
    </cfRule>
  </conditionalFormatting>
  <conditionalFormatting sqref="AE106:AE107">
    <cfRule type="containsText" dxfId="2" priority="309" operator="containsText" text="PER">
      <formula>NOT(ISERROR(SEARCH(("PER"),(AE106))))</formula>
    </cfRule>
  </conditionalFormatting>
  <conditionalFormatting sqref="AE106:AE107">
    <cfRule type="containsText" dxfId="3" priority="310" operator="containsText" text="WIL">
      <formula>NOT(ISERROR(SEARCH(("WIL"),(AE106))))</formula>
    </cfRule>
  </conditionalFormatting>
  <conditionalFormatting sqref="AE106:AE107">
    <cfRule type="containsText" dxfId="4" priority="311" operator="containsText" text="INT">
      <formula>NOT(ISERROR(SEARCH(("INT"),(AE106))))</formula>
    </cfRule>
  </conditionalFormatting>
  <conditionalFormatting sqref="AE106:AE107">
    <cfRule type="containsText" dxfId="5" priority="312" operator="containsText" text="STR">
      <formula>NOT(ISERROR(SEARCH(("STR"),(AE106))))</formula>
    </cfRule>
  </conditionalFormatting>
  <conditionalFormatting sqref="AE112:AE113">
    <cfRule type="containsText" dxfId="6" priority="313" operator="containsText" text="CAR">
      <formula>NOT(ISERROR(SEARCH(("CAR"),(AE112))))</formula>
    </cfRule>
  </conditionalFormatting>
  <conditionalFormatting sqref="AE112:AE113">
    <cfRule type="containsText" dxfId="1" priority="314" operator="containsText" text="AGI">
      <formula>NOT(ISERROR(SEARCH(("AGI"),(AE112))))</formula>
    </cfRule>
  </conditionalFormatting>
  <conditionalFormatting sqref="AE112:AE113">
    <cfRule type="containsText" dxfId="2" priority="315" operator="containsText" text="PER">
      <formula>NOT(ISERROR(SEARCH(("PER"),(AE112))))</formula>
    </cfRule>
  </conditionalFormatting>
  <conditionalFormatting sqref="AE112:AE113">
    <cfRule type="containsText" dxfId="3" priority="316" operator="containsText" text="WIL">
      <formula>NOT(ISERROR(SEARCH(("WIL"),(AE112))))</formula>
    </cfRule>
  </conditionalFormatting>
  <conditionalFormatting sqref="AE112:AE113">
    <cfRule type="containsText" dxfId="4" priority="317" operator="containsText" text="INT">
      <formula>NOT(ISERROR(SEARCH(("INT"),(AE112))))</formula>
    </cfRule>
  </conditionalFormatting>
  <conditionalFormatting sqref="AE112:AE113">
    <cfRule type="containsText" dxfId="5" priority="318" operator="containsText" text="STR">
      <formula>NOT(ISERROR(SEARCH(("STR"),(AE112))))</formula>
    </cfRule>
  </conditionalFormatting>
  <conditionalFormatting sqref="AE118:AE119">
    <cfRule type="containsText" dxfId="6" priority="319" operator="containsText" text="CAR">
      <formula>NOT(ISERROR(SEARCH(("CAR"),(AE118))))</formula>
    </cfRule>
  </conditionalFormatting>
  <conditionalFormatting sqref="AE118:AE119">
    <cfRule type="containsText" dxfId="1" priority="320" operator="containsText" text="AGI">
      <formula>NOT(ISERROR(SEARCH(("AGI"),(AE118))))</formula>
    </cfRule>
  </conditionalFormatting>
  <conditionalFormatting sqref="AE118:AE119">
    <cfRule type="containsText" dxfId="2" priority="321" operator="containsText" text="PER">
      <formula>NOT(ISERROR(SEARCH(("PER"),(AE118))))</formula>
    </cfRule>
  </conditionalFormatting>
  <conditionalFormatting sqref="AE118:AE119">
    <cfRule type="containsText" dxfId="3" priority="322" operator="containsText" text="WIL">
      <formula>NOT(ISERROR(SEARCH(("WIL"),(AE118))))</formula>
    </cfRule>
  </conditionalFormatting>
  <conditionalFormatting sqref="AE118:AE119">
    <cfRule type="containsText" dxfId="4" priority="323" operator="containsText" text="INT">
      <formula>NOT(ISERROR(SEARCH(("INT"),(AE118))))</formula>
    </cfRule>
  </conditionalFormatting>
  <conditionalFormatting sqref="AE118:AE119">
    <cfRule type="containsText" dxfId="5" priority="324" operator="containsText" text="STR">
      <formula>NOT(ISERROR(SEARCH(("STR"),(AE118))))</formula>
    </cfRule>
  </conditionalFormatting>
  <conditionalFormatting sqref="AE124:AE125">
    <cfRule type="containsText" dxfId="6" priority="325" operator="containsText" text="CAR">
      <formula>NOT(ISERROR(SEARCH(("CAR"),(AE124))))</formula>
    </cfRule>
  </conditionalFormatting>
  <conditionalFormatting sqref="AE124:AE125">
    <cfRule type="containsText" dxfId="1" priority="326" operator="containsText" text="AGI">
      <formula>NOT(ISERROR(SEARCH(("AGI"),(AE124))))</formula>
    </cfRule>
  </conditionalFormatting>
  <conditionalFormatting sqref="AE124:AE125">
    <cfRule type="containsText" dxfId="2" priority="327" operator="containsText" text="PER">
      <formula>NOT(ISERROR(SEARCH(("PER"),(AE124))))</formula>
    </cfRule>
  </conditionalFormatting>
  <conditionalFormatting sqref="AE124:AE125">
    <cfRule type="containsText" dxfId="3" priority="328" operator="containsText" text="WIL">
      <formula>NOT(ISERROR(SEARCH(("WIL"),(AE124))))</formula>
    </cfRule>
  </conditionalFormatting>
  <conditionalFormatting sqref="AE124:AE125">
    <cfRule type="containsText" dxfId="4" priority="329" operator="containsText" text="INT">
      <formula>NOT(ISERROR(SEARCH(("INT"),(AE124))))</formula>
    </cfRule>
  </conditionalFormatting>
  <conditionalFormatting sqref="AE124:AE125">
    <cfRule type="containsText" dxfId="5" priority="330" operator="containsText" text="STR">
      <formula>NOT(ISERROR(SEARCH(("STR"),(AE124))))</formula>
    </cfRule>
  </conditionalFormatting>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6" width="8.71"/>
  </cols>
  <sheetData>
    <row r="1" ht="14.25" customHeight="1"/>
    <row r="2" ht="14.25" customHeight="1"/>
    <row r="3" ht="14.25" customHeight="1"/>
    <row r="4" ht="14.25" customHeight="1">
      <c r="AR4" s="1">
        <v>0.0</v>
      </c>
      <c r="AS4" s="1" t="str">
        <f t="shared" ref="AS4:AS11" si="1">IFERROR(INDEX($C$5:$C$64,AR4*12+1),INDEX($M$5:$M$64,(AR4-4)*12+1))</f>
        <v>WARRIOR</v>
      </c>
      <c r="AT4" s="1" t="str">
        <f t="shared" ref="AT4:AT11" si="2">CONCATENATE(LEFT(AS4,1),MID(LOWER(AS4),2,LEN(AS4)))</f>
        <v>Warrior</v>
      </c>
    </row>
    <row r="5" ht="14.25" customHeight="1">
      <c r="A5" s="1">
        <v>1.0</v>
      </c>
      <c r="B5" s="169"/>
      <c r="C5" s="170" t="s">
        <v>398</v>
      </c>
      <c r="D5" s="171" t="s">
        <v>399</v>
      </c>
      <c r="E5" s="3"/>
      <c r="F5" s="3"/>
      <c r="G5" s="4"/>
      <c r="H5" s="172" t="s">
        <v>256</v>
      </c>
      <c r="I5" s="173" t="s">
        <v>42</v>
      </c>
      <c r="J5" s="1" t="s">
        <v>400</v>
      </c>
      <c r="M5" s="174" t="s">
        <v>401</v>
      </c>
      <c r="N5" s="175" t="s">
        <v>402</v>
      </c>
      <c r="O5" s="176"/>
      <c r="P5" s="176"/>
      <c r="Q5" s="177"/>
      <c r="R5" s="178" t="s">
        <v>42</v>
      </c>
      <c r="T5" s="1" t="s">
        <v>403</v>
      </c>
      <c r="AR5" s="1">
        <v>1.0</v>
      </c>
      <c r="AS5" s="1" t="str">
        <f t="shared" si="1"/>
        <v>ROUGE</v>
      </c>
      <c r="AT5" s="1" t="str">
        <f t="shared" si="2"/>
        <v>Rouge</v>
      </c>
    </row>
    <row r="6" ht="14.25" customHeight="1">
      <c r="A6" s="1">
        <v>2.0</v>
      </c>
      <c r="B6" s="169"/>
      <c r="D6" s="47"/>
      <c r="E6" s="48"/>
      <c r="F6" s="48"/>
      <c r="G6" s="179"/>
      <c r="H6" s="180"/>
      <c r="I6" s="180"/>
      <c r="N6" s="181"/>
      <c r="O6" s="48"/>
      <c r="P6" s="48"/>
      <c r="Q6" s="179"/>
      <c r="R6" s="182"/>
      <c r="Y6" s="183" t="str">
        <f>D9</f>
        <v>Athletism</v>
      </c>
      <c r="Z6" s="183"/>
      <c r="AA6" s="183"/>
      <c r="AB6" s="184" t="str">
        <f>H9</f>
        <v>AGI</v>
      </c>
      <c r="AC6" s="183">
        <f t="shared" ref="AC6:AC18" si="3">COUNTIF($D$5:$Q$64,Y6)+COUNTIF($D$69:$V$149,Y6)</f>
        <v>2</v>
      </c>
      <c r="AD6" s="1" t="str">
        <f>C5</f>
        <v>WARRIOR</v>
      </c>
      <c r="AF6" s="1" t="str">
        <f>M5</f>
        <v>BRAWLER</v>
      </c>
      <c r="AH6" s="1" t="str">
        <f t="shared" ref="AH6:AH39" si="4">IF(IFNA(VLOOKUP(Y6,$Y7:Y$70,1,FALSE),"-")=Y6,"Duplicate","-")</f>
        <v>-</v>
      </c>
      <c r="AK6" s="183" t="s">
        <v>404</v>
      </c>
      <c r="AL6" s="183"/>
      <c r="AM6" s="183"/>
      <c r="AN6" s="184" t="s">
        <v>42</v>
      </c>
      <c r="AR6" s="1">
        <v>2.0</v>
      </c>
      <c r="AS6" s="1" t="str">
        <f t="shared" si="1"/>
        <v>MAGE</v>
      </c>
      <c r="AT6" s="1" t="str">
        <f t="shared" si="2"/>
        <v>Mage</v>
      </c>
    </row>
    <row r="7" ht="14.25" customHeight="1">
      <c r="A7" s="1">
        <v>3.0</v>
      </c>
      <c r="B7" s="169"/>
      <c r="D7" s="175" t="s">
        <v>405</v>
      </c>
      <c r="E7" s="176"/>
      <c r="F7" s="176"/>
      <c r="G7" s="177"/>
      <c r="H7" s="178" t="s">
        <v>256</v>
      </c>
      <c r="N7" s="175" t="s">
        <v>406</v>
      </c>
      <c r="O7" s="176"/>
      <c r="P7" s="176"/>
      <c r="Q7" s="177"/>
      <c r="R7" s="178" t="s">
        <v>81</v>
      </c>
      <c r="Y7" s="183" t="str">
        <f>S108</f>
        <v>Intimidation</v>
      </c>
      <c r="Z7" s="183"/>
      <c r="AA7" s="183"/>
      <c r="AB7" s="184" t="str">
        <f>W108</f>
        <v>WIL</v>
      </c>
      <c r="AC7" s="183">
        <f t="shared" si="3"/>
        <v>2</v>
      </c>
      <c r="AD7" s="1" t="str">
        <f>C5</f>
        <v>WARRIOR</v>
      </c>
      <c r="AH7" s="1" t="str">
        <f t="shared" si="4"/>
        <v>-</v>
      </c>
      <c r="AK7" s="183" t="s">
        <v>407</v>
      </c>
      <c r="AL7" s="183"/>
      <c r="AM7" s="183"/>
      <c r="AN7" s="184" t="s">
        <v>42</v>
      </c>
      <c r="AR7" s="1">
        <v>3.0</v>
      </c>
      <c r="AS7" s="1" t="str">
        <f t="shared" si="1"/>
        <v>SORCEROR</v>
      </c>
      <c r="AT7" s="1" t="str">
        <f t="shared" si="2"/>
        <v>Sorceror</v>
      </c>
    </row>
    <row r="8" ht="14.25" customHeight="1">
      <c r="A8" s="1">
        <v>4.0</v>
      </c>
      <c r="B8" s="169"/>
      <c r="D8" s="181"/>
      <c r="E8" s="48"/>
      <c r="F8" s="48"/>
      <c r="G8" s="179"/>
      <c r="H8" s="182"/>
      <c r="N8" s="181"/>
      <c r="O8" s="48"/>
      <c r="P8" s="48"/>
      <c r="Q8" s="179"/>
      <c r="R8" s="182"/>
      <c r="Y8" s="183" t="str">
        <f>D13</f>
        <v>Discipline</v>
      </c>
      <c r="Z8" s="183"/>
      <c r="AA8" s="183"/>
      <c r="AB8" s="184" t="str">
        <f>H13</f>
        <v>WIL</v>
      </c>
      <c r="AC8" s="183">
        <f t="shared" si="3"/>
        <v>2</v>
      </c>
      <c r="AD8" s="1" t="str">
        <f>C5</f>
        <v>WARRIOR</v>
      </c>
      <c r="AF8" s="1" t="str">
        <f>C53</f>
        <v>PRIEST</v>
      </c>
      <c r="AH8" s="1" t="str">
        <f t="shared" si="4"/>
        <v>-</v>
      </c>
      <c r="AK8" s="183" t="s">
        <v>408</v>
      </c>
      <c r="AL8" s="183"/>
      <c r="AM8" s="183"/>
      <c r="AN8" s="184" t="s">
        <v>42</v>
      </c>
      <c r="AR8" s="1">
        <v>4.0</v>
      </c>
      <c r="AS8" s="1" t="str">
        <f t="shared" si="1"/>
        <v>PRIEST</v>
      </c>
      <c r="AT8" s="1" t="str">
        <f t="shared" si="2"/>
        <v>Priest</v>
      </c>
    </row>
    <row r="9" ht="14.25" customHeight="1">
      <c r="A9" s="1">
        <v>5.0</v>
      </c>
      <c r="B9" s="169"/>
      <c r="D9" s="185" t="s">
        <v>404</v>
      </c>
      <c r="E9" s="176"/>
      <c r="F9" s="176"/>
      <c r="G9" s="176"/>
      <c r="H9" s="186" t="s">
        <v>42</v>
      </c>
      <c r="N9" s="187" t="s">
        <v>409</v>
      </c>
      <c r="R9" s="188" t="s">
        <v>81</v>
      </c>
      <c r="Y9" s="183" t="str">
        <f>D21</f>
        <v>Alert</v>
      </c>
      <c r="Z9" s="183"/>
      <c r="AA9" s="183"/>
      <c r="AB9" s="184" t="str">
        <f>H21</f>
        <v>PER</v>
      </c>
      <c r="AC9" s="183">
        <f t="shared" si="3"/>
        <v>2</v>
      </c>
      <c r="AD9" s="1" t="str">
        <f>C17</f>
        <v>ROUGE</v>
      </c>
      <c r="AH9" s="1" t="str">
        <f t="shared" si="4"/>
        <v>-</v>
      </c>
      <c r="AK9" s="183" t="s">
        <v>410</v>
      </c>
      <c r="AL9" s="183"/>
      <c r="AM9" s="183"/>
      <c r="AN9" s="184" t="s">
        <v>42</v>
      </c>
      <c r="AR9" s="1">
        <v>5.0</v>
      </c>
      <c r="AS9" s="189" t="str">
        <f t="shared" si="1"/>
        <v>EXPLORER</v>
      </c>
      <c r="AT9" s="1" t="str">
        <f t="shared" si="2"/>
        <v>Explorer</v>
      </c>
    </row>
    <row r="10" ht="14.25" customHeight="1">
      <c r="A10" s="1">
        <v>6.0</v>
      </c>
      <c r="B10" s="169"/>
      <c r="D10" s="190"/>
      <c r="H10" s="182"/>
      <c r="N10" s="190"/>
      <c r="R10" s="30"/>
      <c r="Y10" s="183" t="str">
        <f>D25</f>
        <v>Hide</v>
      </c>
      <c r="Z10" s="183"/>
      <c r="AA10" s="183"/>
      <c r="AB10" s="184" t="str">
        <f>H25</f>
        <v>AGI</v>
      </c>
      <c r="AC10" s="183">
        <f t="shared" si="3"/>
        <v>2</v>
      </c>
      <c r="AD10" s="1" t="str">
        <f>C17</f>
        <v>ROUGE</v>
      </c>
      <c r="AF10" s="191" t="str">
        <f>M17</f>
        <v>EXPLORER</v>
      </c>
      <c r="AH10" s="1" t="str">
        <f t="shared" si="4"/>
        <v>-</v>
      </c>
      <c r="AK10" s="183" t="s">
        <v>411</v>
      </c>
      <c r="AL10" s="183"/>
      <c r="AM10" s="183"/>
      <c r="AN10" s="184" t="s">
        <v>42</v>
      </c>
      <c r="AR10" s="1">
        <v>6.0</v>
      </c>
      <c r="AS10" s="1" t="str">
        <f t="shared" si="1"/>
        <v>BARD</v>
      </c>
      <c r="AT10" s="1" t="str">
        <f t="shared" si="2"/>
        <v>Bard</v>
      </c>
    </row>
    <row r="11" ht="14.25" customHeight="1">
      <c r="A11" s="1">
        <v>7.0</v>
      </c>
      <c r="B11" s="169"/>
      <c r="D11" s="192" t="s">
        <v>412</v>
      </c>
      <c r="E11" s="176"/>
      <c r="F11" s="176"/>
      <c r="G11" s="176"/>
      <c r="H11" s="193" t="s">
        <v>213</v>
      </c>
      <c r="N11" s="192" t="s">
        <v>413</v>
      </c>
      <c r="O11" s="176"/>
      <c r="P11" s="176"/>
      <c r="Q11" s="176"/>
      <c r="R11" s="193" t="s">
        <v>256</v>
      </c>
      <c r="Y11" s="183" t="str">
        <f>D33</f>
        <v>Spellcraft</v>
      </c>
      <c r="Z11" s="183"/>
      <c r="AA11" s="183"/>
      <c r="AB11" s="184" t="str">
        <f>H33</f>
        <v>PER</v>
      </c>
      <c r="AC11" s="183">
        <f t="shared" si="3"/>
        <v>2</v>
      </c>
      <c r="AD11" s="1" t="str">
        <f>C29</f>
        <v>MAGE</v>
      </c>
      <c r="AF11" s="1" t="str">
        <f>K87</f>
        <v>Mystic</v>
      </c>
      <c r="AH11" s="1" t="str">
        <f t="shared" si="4"/>
        <v>-</v>
      </c>
      <c r="AK11" s="183" t="s">
        <v>414</v>
      </c>
      <c r="AL11" s="183"/>
      <c r="AM11" s="183"/>
      <c r="AN11" s="184" t="s">
        <v>14</v>
      </c>
      <c r="AR11" s="1">
        <v>7.0</v>
      </c>
      <c r="AS11" s="1" t="str">
        <f t="shared" si="1"/>
        <v/>
      </c>
      <c r="AT11" s="1" t="str">
        <f t="shared" si="2"/>
        <v/>
      </c>
    </row>
    <row r="12" ht="14.25" customHeight="1">
      <c r="A12" s="1">
        <v>8.0</v>
      </c>
      <c r="B12" s="169"/>
      <c r="D12" s="190"/>
      <c r="H12" s="30"/>
      <c r="N12" s="190"/>
      <c r="R12" s="30"/>
      <c r="Y12" s="183" t="str">
        <f>D37</f>
        <v>Mental Focus</v>
      </c>
      <c r="Z12" s="183"/>
      <c r="AA12" s="183"/>
      <c r="AB12" s="184" t="str">
        <f>H37</f>
        <v>WIL</v>
      </c>
      <c r="AC12" s="183">
        <f t="shared" si="3"/>
        <v>3</v>
      </c>
      <c r="AD12" s="194" t="str">
        <f>C29</f>
        <v>MAGE</v>
      </c>
      <c r="AF12" s="1" t="str">
        <f>C81</f>
        <v>Showman</v>
      </c>
      <c r="AH12" s="1" t="str">
        <f t="shared" si="4"/>
        <v>-</v>
      </c>
      <c r="AK12" s="183" t="s">
        <v>415</v>
      </c>
      <c r="AL12" s="183"/>
      <c r="AM12" s="183"/>
      <c r="AN12" s="184" t="s">
        <v>14</v>
      </c>
    </row>
    <row r="13" ht="14.25" customHeight="1">
      <c r="A13" s="1">
        <v>9.0</v>
      </c>
      <c r="B13" s="169"/>
      <c r="D13" s="187" t="s">
        <v>409</v>
      </c>
      <c r="H13" s="195" t="s">
        <v>81</v>
      </c>
      <c r="I13" s="173" t="s">
        <v>256</v>
      </c>
      <c r="N13" s="196" t="s">
        <v>404</v>
      </c>
      <c r="R13" s="188" t="s">
        <v>42</v>
      </c>
      <c r="Y13" s="183" t="str">
        <f>D35</f>
        <v>Magic Obj </v>
      </c>
      <c r="Z13" s="183"/>
      <c r="AA13" s="183"/>
      <c r="AB13" s="184" t="str">
        <f>H35</f>
        <v>INT</v>
      </c>
      <c r="AC13" s="183">
        <f t="shared" si="3"/>
        <v>2</v>
      </c>
      <c r="AD13" s="1" t="str">
        <f>C29</f>
        <v>MAGE</v>
      </c>
      <c r="AH13" s="1" t="str">
        <f t="shared" si="4"/>
        <v>-</v>
      </c>
      <c r="AK13" s="78" t="s">
        <v>416</v>
      </c>
      <c r="AL13" s="78"/>
      <c r="AM13" s="78"/>
      <c r="AN13" s="197" t="s">
        <v>14</v>
      </c>
    </row>
    <row r="14" ht="14.25" customHeight="1">
      <c r="A14" s="1">
        <v>10.0</v>
      </c>
      <c r="B14" s="169"/>
      <c r="D14" s="198"/>
      <c r="E14" s="7"/>
      <c r="F14" s="7"/>
      <c r="G14" s="7"/>
      <c r="H14" s="199"/>
      <c r="I14" s="180"/>
      <c r="N14" s="198"/>
      <c r="O14" s="7"/>
      <c r="P14" s="7"/>
      <c r="Q14" s="7"/>
      <c r="R14" s="42"/>
      <c r="Y14" s="183" t="str">
        <f>D57</f>
        <v>Spirit Sensitivity</v>
      </c>
      <c r="Z14" s="183"/>
      <c r="AA14" s="183"/>
      <c r="AB14" s="184" t="str">
        <f>H57</f>
        <v>CAR</v>
      </c>
      <c r="AC14" s="183">
        <f t="shared" si="3"/>
        <v>2</v>
      </c>
      <c r="AD14" s="1" t="str">
        <f>C53</f>
        <v>PRIEST</v>
      </c>
      <c r="AH14" s="1" t="str">
        <f t="shared" si="4"/>
        <v>-</v>
      </c>
      <c r="AK14" s="183" t="s">
        <v>417</v>
      </c>
      <c r="AL14" s="183"/>
      <c r="AM14" s="183"/>
      <c r="AN14" s="184" t="s">
        <v>14</v>
      </c>
    </row>
    <row r="15" ht="14.25" customHeight="1">
      <c r="A15" s="1">
        <v>11.0</v>
      </c>
      <c r="D15" s="78"/>
      <c r="E15" s="78"/>
      <c r="F15" s="78"/>
      <c r="G15" s="78"/>
      <c r="H15" s="78"/>
      <c r="Y15" s="183" t="str">
        <f>D59</f>
        <v>Healing</v>
      </c>
      <c r="Z15" s="183"/>
      <c r="AA15" s="183"/>
      <c r="AB15" s="184" t="str">
        <f>H59</f>
        <v>WIL</v>
      </c>
      <c r="AC15" s="183">
        <f t="shared" si="3"/>
        <v>3</v>
      </c>
      <c r="AD15" s="194" t="str">
        <f>C53</f>
        <v>PRIEST</v>
      </c>
      <c r="AH15" s="1" t="str">
        <f t="shared" si="4"/>
        <v>-</v>
      </c>
      <c r="AK15" s="183" t="s">
        <v>418</v>
      </c>
      <c r="AL15" s="183"/>
      <c r="AM15" s="183"/>
      <c r="AN15" s="184" t="s">
        <v>14</v>
      </c>
    </row>
    <row r="16" ht="14.25" customHeight="1">
      <c r="A16" s="1">
        <v>12.0</v>
      </c>
      <c r="C16" s="7"/>
      <c r="M16" s="7"/>
      <c r="Y16" s="183" t="str">
        <f>D23</f>
        <v>Bluff</v>
      </c>
      <c r="Z16" s="183"/>
      <c r="AA16" s="183"/>
      <c r="AB16" s="184" t="str">
        <f>H23</f>
        <v>CAR</v>
      </c>
      <c r="AC16" s="183">
        <f t="shared" si="3"/>
        <v>2</v>
      </c>
      <c r="AD16" s="1" t="str">
        <f>M5</f>
        <v>BRAWLER</v>
      </c>
      <c r="AF16" s="191" t="str">
        <f>K81</f>
        <v>Minstrel</v>
      </c>
      <c r="AH16" s="1" t="str">
        <f t="shared" si="4"/>
        <v>-</v>
      </c>
      <c r="AK16" s="183" t="s">
        <v>419</v>
      </c>
      <c r="AL16" s="183"/>
      <c r="AM16" s="183"/>
      <c r="AN16" s="184" t="s">
        <v>14</v>
      </c>
    </row>
    <row r="17" ht="14.25" customHeight="1">
      <c r="A17" s="1">
        <v>13.0</v>
      </c>
      <c r="C17" s="170" t="s">
        <v>420</v>
      </c>
      <c r="D17" s="200" t="s">
        <v>421</v>
      </c>
      <c r="E17" s="176"/>
      <c r="F17" s="176"/>
      <c r="G17" s="177"/>
      <c r="H17" s="178" t="s">
        <v>42</v>
      </c>
      <c r="J17" s="1" t="s">
        <v>422</v>
      </c>
      <c r="M17" s="201" t="s">
        <v>423</v>
      </c>
      <c r="N17" s="202" t="s">
        <v>424</v>
      </c>
      <c r="O17" s="176"/>
      <c r="P17" s="176"/>
      <c r="Q17" s="177"/>
      <c r="R17" s="203" t="s">
        <v>213</v>
      </c>
      <c r="T17" s="1" t="s">
        <v>425</v>
      </c>
      <c r="Y17" s="183" t="str">
        <f>N11</f>
        <v>Rest</v>
      </c>
      <c r="Z17" s="183"/>
      <c r="AA17" s="183"/>
      <c r="AB17" s="184" t="str">
        <f>R11</f>
        <v>STR</v>
      </c>
      <c r="AC17" s="183">
        <f t="shared" si="3"/>
        <v>2</v>
      </c>
      <c r="AD17" s="1" t="str">
        <f>M5</f>
        <v>BRAWLER</v>
      </c>
      <c r="AF17" s="1" t="str">
        <f>M53</f>
        <v>DRUID</v>
      </c>
      <c r="AH17" s="1" t="str">
        <f t="shared" si="4"/>
        <v>Duplicate</v>
      </c>
      <c r="AK17" s="183" t="s">
        <v>426</v>
      </c>
      <c r="AL17" s="183"/>
      <c r="AM17" s="183"/>
      <c r="AN17" s="184" t="s">
        <v>14</v>
      </c>
    </row>
    <row r="18" ht="14.25" customHeight="1">
      <c r="D18" s="181"/>
      <c r="E18" s="48"/>
      <c r="F18" s="48"/>
      <c r="G18" s="179"/>
      <c r="H18" s="182"/>
      <c r="N18" s="181"/>
      <c r="O18" s="48"/>
      <c r="P18" s="48"/>
      <c r="Q18" s="179"/>
      <c r="R18" s="182"/>
      <c r="Y18" s="183" t="str">
        <f>N23</f>
        <v>Trapper</v>
      </c>
      <c r="Z18" s="183"/>
      <c r="AA18" s="183"/>
      <c r="AB18" s="184" t="str">
        <f>R23</f>
        <v>INT</v>
      </c>
      <c r="AC18" s="183">
        <f t="shared" si="3"/>
        <v>2</v>
      </c>
      <c r="AD18" s="204" t="str">
        <f>M17</f>
        <v>EXPLORER</v>
      </c>
      <c r="AH18" s="1" t="str">
        <f t="shared" si="4"/>
        <v>-</v>
      </c>
      <c r="AK18" s="205" t="s">
        <v>427</v>
      </c>
      <c r="AL18" s="205"/>
      <c r="AM18" s="205"/>
      <c r="AN18" s="206" t="s">
        <v>14</v>
      </c>
    </row>
    <row r="19" ht="14.25" customHeight="1">
      <c r="D19" s="207" t="s">
        <v>428</v>
      </c>
      <c r="E19" s="3"/>
      <c r="F19" s="3"/>
      <c r="G19" s="4"/>
      <c r="H19" s="208" t="s">
        <v>256</v>
      </c>
      <c r="I19" s="209" t="s">
        <v>42</v>
      </c>
      <c r="N19" s="207" t="s">
        <v>428</v>
      </c>
      <c r="O19" s="3"/>
      <c r="P19" s="3"/>
      <c r="Q19" s="4"/>
      <c r="R19" s="208" t="s">
        <v>256</v>
      </c>
      <c r="Y19" s="78"/>
      <c r="Z19" s="78"/>
      <c r="AA19" s="78"/>
      <c r="AB19" s="197"/>
      <c r="AC19" s="78"/>
      <c r="AD19" s="191" t="str">
        <f>M17</f>
        <v>EXPLORER</v>
      </c>
      <c r="AH19" s="1" t="str">
        <f t="shared" si="4"/>
        <v>-</v>
      </c>
      <c r="AK19" s="205" t="s">
        <v>429</v>
      </c>
      <c r="AL19" s="205"/>
      <c r="AM19" s="205"/>
      <c r="AN19" s="206" t="s">
        <v>14</v>
      </c>
    </row>
    <row r="20" ht="14.25" customHeight="1">
      <c r="D20" s="198"/>
      <c r="E20" s="7"/>
      <c r="F20" s="7"/>
      <c r="G20" s="8"/>
      <c r="H20" s="199"/>
      <c r="I20" s="180"/>
      <c r="N20" s="181"/>
      <c r="O20" s="48"/>
      <c r="P20" s="48"/>
      <c r="Q20" s="179"/>
      <c r="R20" s="182"/>
      <c r="Y20" s="183" t="str">
        <f>N33</f>
        <v>Sleight of Hand</v>
      </c>
      <c r="Z20" s="183"/>
      <c r="AA20" s="183"/>
      <c r="AB20" s="184" t="str">
        <f>R33</f>
        <v>AGI</v>
      </c>
      <c r="AC20" s="183">
        <f t="shared" ref="AC20:AC29" si="5">COUNTIF($D$5:$Q$64,Y20)+COUNTIF($D$69:$V$149,Y20)</f>
        <v>2</v>
      </c>
      <c r="AD20" s="1" t="str">
        <f>M29</f>
        <v>BARD</v>
      </c>
      <c r="AF20" s="1" t="str">
        <f>R69</f>
        <v>Thief</v>
      </c>
      <c r="AH20" s="1" t="str">
        <f t="shared" si="4"/>
        <v>-</v>
      </c>
      <c r="AK20" s="183" t="s">
        <v>430</v>
      </c>
      <c r="AL20" s="183"/>
      <c r="AM20" s="183"/>
      <c r="AN20" s="184" t="s">
        <v>160</v>
      </c>
    </row>
    <row r="21" ht="14.25" customHeight="1">
      <c r="D21" s="192" t="s">
        <v>431</v>
      </c>
      <c r="E21" s="176"/>
      <c r="F21" s="176"/>
      <c r="G21" s="176"/>
      <c r="H21" s="178" t="s">
        <v>213</v>
      </c>
      <c r="N21" s="210" t="s">
        <v>410</v>
      </c>
      <c r="O21" s="176"/>
      <c r="P21" s="176"/>
      <c r="Q21" s="176"/>
      <c r="R21" s="193" t="s">
        <v>42</v>
      </c>
      <c r="Y21" s="183" t="str">
        <f>N35</f>
        <v>Perform</v>
      </c>
      <c r="Z21" s="183"/>
      <c r="AA21" s="183"/>
      <c r="AB21" s="184" t="str">
        <f>R35</f>
        <v>CAR</v>
      </c>
      <c r="AC21" s="183">
        <f t="shared" si="5"/>
        <v>2</v>
      </c>
      <c r="AD21" s="1" t="str">
        <f>M29</f>
        <v>BARD</v>
      </c>
      <c r="AF21" s="191" t="str">
        <f>K81</f>
        <v>Minstrel</v>
      </c>
      <c r="AH21" s="1" t="str">
        <f t="shared" si="4"/>
        <v>-</v>
      </c>
      <c r="AK21" s="183" t="s">
        <v>432</v>
      </c>
      <c r="AL21" s="183"/>
      <c r="AM21" s="183"/>
      <c r="AN21" s="184" t="s">
        <v>160</v>
      </c>
    </row>
    <row r="22" ht="14.25" customHeight="1">
      <c r="D22" s="190"/>
      <c r="H22" s="182"/>
      <c r="N22" s="190"/>
      <c r="R22" s="30"/>
      <c r="Y22" s="183" t="str">
        <f>L71</f>
        <v>Culture Lore</v>
      </c>
      <c r="Z22" s="183"/>
      <c r="AA22" s="183"/>
      <c r="AB22" s="184" t="s">
        <v>160</v>
      </c>
      <c r="AC22" s="183">
        <f t="shared" si="5"/>
        <v>2</v>
      </c>
      <c r="AD22" s="1" t="str">
        <f>M29</f>
        <v>BARD</v>
      </c>
      <c r="AF22" s="191" t="str">
        <f>K81</f>
        <v>Minstrel</v>
      </c>
      <c r="AH22" s="1" t="str">
        <f t="shared" si="4"/>
        <v>-</v>
      </c>
      <c r="AK22" s="183" t="s">
        <v>433</v>
      </c>
      <c r="AL22" s="183"/>
      <c r="AM22" s="183"/>
      <c r="AN22" s="184" t="s">
        <v>160</v>
      </c>
    </row>
    <row r="23" ht="14.25" customHeight="1">
      <c r="D23" s="187" t="s">
        <v>416</v>
      </c>
      <c r="H23" s="188" t="s">
        <v>14</v>
      </c>
      <c r="N23" s="187" t="s">
        <v>432</v>
      </c>
      <c r="R23" s="188" t="s">
        <v>160</v>
      </c>
      <c r="Y23" s="183" t="str">
        <f>S112</f>
        <v>Wilderness</v>
      </c>
      <c r="Z23" s="183"/>
      <c r="AA23" s="183"/>
      <c r="AB23" s="184" t="s">
        <v>81</v>
      </c>
      <c r="AC23" s="183">
        <f t="shared" si="5"/>
        <v>3</v>
      </c>
      <c r="AD23" s="1" t="str">
        <f>M53</f>
        <v>DRUID</v>
      </c>
      <c r="AF23" s="1" t="str">
        <f>R112</f>
        <v>Survivalist</v>
      </c>
      <c r="AH23" s="1" t="str">
        <f t="shared" si="4"/>
        <v>-</v>
      </c>
      <c r="AK23" s="183" t="s">
        <v>434</v>
      </c>
      <c r="AL23" s="183"/>
      <c r="AM23" s="183"/>
      <c r="AN23" s="184" t="s">
        <v>160</v>
      </c>
    </row>
    <row r="24" ht="14.25" customHeight="1">
      <c r="D24" s="190"/>
      <c r="H24" s="30"/>
      <c r="N24" s="190"/>
      <c r="R24" s="30"/>
      <c r="Y24" s="183" t="str">
        <f>L91</f>
        <v>Astrology</v>
      </c>
      <c r="Z24" s="183"/>
      <c r="AA24" s="183"/>
      <c r="AB24" s="184" t="str">
        <f>P91</f>
        <v>INT</v>
      </c>
      <c r="AC24" s="183">
        <f t="shared" si="5"/>
        <v>3</v>
      </c>
      <c r="AD24" s="1" t="str">
        <f>M53</f>
        <v>DRUID</v>
      </c>
      <c r="AF24" s="1" t="str">
        <f>K87</f>
        <v>Mystic</v>
      </c>
      <c r="AH24" s="1" t="str">
        <f t="shared" si="4"/>
        <v>-</v>
      </c>
      <c r="AK24" s="205" t="s">
        <v>435</v>
      </c>
      <c r="AL24" s="205"/>
      <c r="AM24" s="205"/>
      <c r="AN24" s="206" t="s">
        <v>160</v>
      </c>
    </row>
    <row r="25" ht="18.0" customHeight="1">
      <c r="D25" s="211" t="s">
        <v>407</v>
      </c>
      <c r="H25" s="212" t="s">
        <v>42</v>
      </c>
      <c r="N25" s="192" t="s">
        <v>431</v>
      </c>
      <c r="O25" s="176"/>
      <c r="P25" s="176"/>
      <c r="Q25" s="176"/>
      <c r="R25" s="178" t="s">
        <v>213</v>
      </c>
      <c r="T25" s="1" t="s">
        <v>0</v>
      </c>
      <c r="Y25" s="183" t="s">
        <v>412</v>
      </c>
      <c r="Z25" s="183"/>
      <c r="AA25" s="183"/>
      <c r="AB25" s="184" t="s">
        <v>213</v>
      </c>
      <c r="AC25" s="183">
        <f t="shared" si="5"/>
        <v>2</v>
      </c>
      <c r="AH25" s="1" t="str">
        <f t="shared" si="4"/>
        <v>-</v>
      </c>
      <c r="AK25" s="205" t="s">
        <v>436</v>
      </c>
      <c r="AL25" s="205"/>
      <c r="AM25" s="205"/>
      <c r="AN25" s="206" t="s">
        <v>160</v>
      </c>
    </row>
    <row r="26" ht="14.25" customHeight="1">
      <c r="N26" s="190"/>
      <c r="R26" s="182"/>
      <c r="Y26" s="183" t="s">
        <v>437</v>
      </c>
      <c r="Z26" s="183"/>
      <c r="AA26" s="183"/>
      <c r="AB26" s="184" t="str">
        <f>H69</f>
        <v>WIL</v>
      </c>
      <c r="AC26" s="183">
        <f t="shared" si="5"/>
        <v>2</v>
      </c>
      <c r="AH26" s="1" t="str">
        <f t="shared" si="4"/>
        <v>-</v>
      </c>
      <c r="AK26" s="205" t="s">
        <v>438</v>
      </c>
      <c r="AL26" s="205"/>
      <c r="AM26" s="205"/>
      <c r="AN26" s="206" t="s">
        <v>160</v>
      </c>
    </row>
    <row r="27" ht="14.25" customHeight="1">
      <c r="Y27" s="183" t="s">
        <v>418</v>
      </c>
      <c r="Z27" s="183"/>
      <c r="AA27" s="183"/>
      <c r="AB27" s="184" t="str">
        <f>IFNA(VLOOKUP(Y27,$L$69:$P$92,5,FALSE),VLOOKUP(Y27,$D$69:$H$80,5,FALSE))</f>
        <v>CAR</v>
      </c>
      <c r="AC27" s="183">
        <f t="shared" si="5"/>
        <v>4</v>
      </c>
      <c r="AH27" s="1" t="str">
        <f t="shared" si="4"/>
        <v>-</v>
      </c>
      <c r="AK27" s="183" t="s">
        <v>439</v>
      </c>
      <c r="AL27" s="183"/>
      <c r="AM27" s="183"/>
      <c r="AN27" s="184" t="s">
        <v>160</v>
      </c>
    </row>
    <row r="28" ht="14.25" customHeight="1">
      <c r="C28" s="7"/>
      <c r="Y28" s="183" t="s">
        <v>440</v>
      </c>
      <c r="Z28" s="183"/>
      <c r="AA28" s="183"/>
      <c r="AB28" s="184" t="str">
        <f>H91</f>
        <v>PER</v>
      </c>
      <c r="AC28" s="183">
        <f t="shared" si="5"/>
        <v>2</v>
      </c>
      <c r="AH28" s="1" t="str">
        <f t="shared" si="4"/>
        <v>-</v>
      </c>
      <c r="AK28" s="183" t="s">
        <v>441</v>
      </c>
      <c r="AL28" s="213"/>
      <c r="AM28" s="213"/>
      <c r="AN28" s="184" t="s">
        <v>160</v>
      </c>
    </row>
    <row r="29" ht="14.25" customHeight="1">
      <c r="C29" s="174" t="s">
        <v>442</v>
      </c>
      <c r="D29" s="202" t="s">
        <v>443</v>
      </c>
      <c r="E29" s="176"/>
      <c r="F29" s="176"/>
      <c r="G29" s="177"/>
      <c r="H29" s="214" t="s">
        <v>160</v>
      </c>
      <c r="J29" s="1" t="s">
        <v>444</v>
      </c>
      <c r="M29" s="174" t="s">
        <v>445</v>
      </c>
      <c r="N29" s="215" t="s">
        <v>446</v>
      </c>
      <c r="O29" s="3"/>
      <c r="P29" s="3"/>
      <c r="Q29" s="4"/>
      <c r="R29" s="216" t="s">
        <v>81</v>
      </c>
      <c r="T29" s="1" t="s">
        <v>447</v>
      </c>
      <c r="Y29" s="183" t="s">
        <v>448</v>
      </c>
      <c r="Z29" s="183"/>
      <c r="AA29" s="183"/>
      <c r="AB29" s="184" t="str">
        <f>W73</f>
        <v>STR</v>
      </c>
      <c r="AC29" s="183">
        <f t="shared" si="5"/>
        <v>2</v>
      </c>
      <c r="AH29" s="1" t="str">
        <f t="shared" si="4"/>
        <v>-</v>
      </c>
      <c r="AK29" s="205" t="s">
        <v>449</v>
      </c>
      <c r="AL29" s="205"/>
      <c r="AM29" s="205"/>
      <c r="AN29" s="206" t="s">
        <v>160</v>
      </c>
    </row>
    <row r="30" ht="14.25" customHeight="1">
      <c r="D30" s="181"/>
      <c r="E30" s="48"/>
      <c r="F30" s="48"/>
      <c r="G30" s="179"/>
      <c r="H30" s="182"/>
      <c r="N30" s="181"/>
      <c r="O30" s="48"/>
      <c r="P30" s="48"/>
      <c r="Q30" s="179"/>
      <c r="R30" s="182"/>
      <c r="AH30" s="1" t="str">
        <f t="shared" si="4"/>
        <v>-</v>
      </c>
      <c r="AK30" s="205" t="s">
        <v>450</v>
      </c>
      <c r="AL30" s="205"/>
      <c r="AM30" s="205"/>
      <c r="AN30" s="206" t="s">
        <v>160</v>
      </c>
    </row>
    <row r="31" ht="14.25" customHeight="1">
      <c r="D31" s="217" t="s">
        <v>446</v>
      </c>
      <c r="E31" s="3"/>
      <c r="F31" s="3"/>
      <c r="G31" s="4"/>
      <c r="H31" s="218" t="s">
        <v>213</v>
      </c>
      <c r="I31" s="219" t="s">
        <v>81</v>
      </c>
      <c r="N31" s="171" t="s">
        <v>451</v>
      </c>
      <c r="O31" s="3"/>
      <c r="P31" s="3"/>
      <c r="Q31" s="4"/>
      <c r="R31" s="172" t="s">
        <v>256</v>
      </c>
      <c r="Y31" s="205" t="s">
        <v>436</v>
      </c>
      <c r="Z31" s="205"/>
      <c r="AA31" s="205"/>
      <c r="AB31" s="206" t="str">
        <f>P93</f>
        <v>INT</v>
      </c>
      <c r="AC31" s="205">
        <f t="shared" ref="AC31:AC40" si="6">COUNTIF($D$5:$Q$64,Y31)+COUNTIF($D$69:$V$149,Y31)</f>
        <v>1</v>
      </c>
      <c r="AH31" s="1" t="str">
        <f t="shared" si="4"/>
        <v>-</v>
      </c>
      <c r="AK31" s="205" t="s">
        <v>452</v>
      </c>
      <c r="AL31" s="205"/>
      <c r="AM31" s="205"/>
      <c r="AN31" s="206" t="s">
        <v>160</v>
      </c>
    </row>
    <row r="32" ht="14.25" customHeight="1">
      <c r="D32" s="198"/>
      <c r="E32" s="7"/>
      <c r="F32" s="7"/>
      <c r="G32" s="8"/>
      <c r="H32" s="199"/>
      <c r="I32" s="180"/>
      <c r="N32" s="47"/>
      <c r="O32" s="48"/>
      <c r="P32" s="48"/>
      <c r="Q32" s="179"/>
      <c r="R32" s="180"/>
      <c r="Y32" s="183" t="s">
        <v>419</v>
      </c>
      <c r="Z32" s="183"/>
      <c r="AA32" s="183"/>
      <c r="AB32" s="184" t="str">
        <f t="shared" ref="AB32:AB34" si="7">IFNA(VLOOKUP(Y32,$L$69:$P$92,5,FALSE),VLOOKUP(Y32,$D$69:$H$80,5,FALSE))</f>
        <v>#N/A</v>
      </c>
      <c r="AC32" s="183">
        <f t="shared" si="6"/>
        <v>2</v>
      </c>
      <c r="AH32" s="1" t="str">
        <f t="shared" si="4"/>
        <v>-</v>
      </c>
      <c r="AK32" s="183" t="s">
        <v>431</v>
      </c>
      <c r="AL32" s="183"/>
      <c r="AM32" s="183"/>
      <c r="AN32" s="184" t="s">
        <v>213</v>
      </c>
    </row>
    <row r="33" ht="14.25" customHeight="1">
      <c r="D33" s="192" t="s">
        <v>453</v>
      </c>
      <c r="E33" s="176"/>
      <c r="F33" s="176"/>
      <c r="G33" s="176"/>
      <c r="H33" s="193" t="s">
        <v>213</v>
      </c>
      <c r="N33" s="187" t="s">
        <v>408</v>
      </c>
      <c r="R33" s="188" t="s">
        <v>42</v>
      </c>
      <c r="Y33" s="183" t="s">
        <v>410</v>
      </c>
      <c r="Z33" s="183"/>
      <c r="AA33" s="183"/>
      <c r="AB33" s="184" t="str">
        <f t="shared" si="7"/>
        <v>#N/A</v>
      </c>
      <c r="AC33" s="183">
        <f t="shared" si="6"/>
        <v>2</v>
      </c>
      <c r="AH33" s="1" t="str">
        <f t="shared" si="4"/>
        <v>-</v>
      </c>
      <c r="AK33" s="183" t="s">
        <v>453</v>
      </c>
      <c r="AL33" s="183"/>
      <c r="AM33" s="183"/>
      <c r="AN33" s="184" t="s">
        <v>213</v>
      </c>
    </row>
    <row r="34" ht="14.25" customHeight="1">
      <c r="D34" s="190"/>
      <c r="H34" s="30"/>
      <c r="N34" s="198"/>
      <c r="O34" s="7"/>
      <c r="P34" s="7"/>
      <c r="Q34" s="7"/>
      <c r="R34" s="42"/>
      <c r="Y34" s="205" t="s">
        <v>454</v>
      </c>
      <c r="Z34" s="205"/>
      <c r="AA34" s="205"/>
      <c r="AB34" s="206" t="str">
        <f t="shared" si="7"/>
        <v>WIL</v>
      </c>
      <c r="AC34" s="205">
        <f t="shared" si="6"/>
        <v>1</v>
      </c>
      <c r="AH34" s="1" t="str">
        <f t="shared" si="4"/>
        <v>-</v>
      </c>
      <c r="AK34" s="78" t="s">
        <v>412</v>
      </c>
      <c r="AL34" s="78"/>
      <c r="AM34" s="78"/>
      <c r="AN34" s="197" t="s">
        <v>213</v>
      </c>
    </row>
    <row r="35" ht="14.25" customHeight="1">
      <c r="D35" s="187" t="s">
        <v>430</v>
      </c>
      <c r="H35" s="188" t="s">
        <v>160</v>
      </c>
      <c r="N35" s="192" t="s">
        <v>417</v>
      </c>
      <c r="O35" s="176"/>
      <c r="P35" s="176"/>
      <c r="Q35" s="176"/>
      <c r="R35" s="193" t="s">
        <v>14</v>
      </c>
      <c r="Y35" s="205" t="s">
        <v>438</v>
      </c>
      <c r="Z35" s="205"/>
      <c r="AA35" s="205"/>
      <c r="AB35" s="206" t="str">
        <f>P87</f>
        <v>INT</v>
      </c>
      <c r="AC35" s="205">
        <f t="shared" si="6"/>
        <v>1</v>
      </c>
      <c r="AH35" s="1" t="str">
        <f t="shared" si="4"/>
        <v>-</v>
      </c>
      <c r="AK35" s="183" t="s">
        <v>440</v>
      </c>
      <c r="AL35" s="183"/>
      <c r="AM35" s="183"/>
      <c r="AN35" s="184" t="s">
        <v>213</v>
      </c>
    </row>
    <row r="36" ht="14.25" customHeight="1">
      <c r="D36" s="198"/>
      <c r="E36" s="7"/>
      <c r="F36" s="7"/>
      <c r="G36" s="7"/>
      <c r="H36" s="42"/>
      <c r="N36" s="190"/>
      <c r="R36" s="30"/>
      <c r="Y36" s="183" t="s">
        <v>426</v>
      </c>
      <c r="Z36" s="183"/>
      <c r="AA36" s="183"/>
      <c r="AB36" s="184" t="str">
        <f>H89</f>
        <v>CAR</v>
      </c>
      <c r="AC36" s="183">
        <f t="shared" si="6"/>
        <v>2</v>
      </c>
      <c r="AH36" s="1" t="str">
        <f t="shared" si="4"/>
        <v>-</v>
      </c>
      <c r="AK36" s="183" t="s">
        <v>455</v>
      </c>
      <c r="AL36" s="183"/>
      <c r="AM36" s="183"/>
      <c r="AN36" s="184" t="s">
        <v>213</v>
      </c>
    </row>
    <row r="37" ht="14.25" customHeight="1">
      <c r="D37" s="211" t="s">
        <v>456</v>
      </c>
      <c r="H37" s="212" t="s">
        <v>81</v>
      </c>
      <c r="N37" s="220" t="s">
        <v>419</v>
      </c>
      <c r="R37" s="212" t="s">
        <v>14</v>
      </c>
      <c r="Y37" s="183" t="s">
        <v>457</v>
      </c>
      <c r="Z37" s="183"/>
      <c r="AA37" s="183"/>
      <c r="AB37" s="184" t="str">
        <f>W114</f>
        <v>STR</v>
      </c>
      <c r="AC37" s="183">
        <f t="shared" si="6"/>
        <v>2</v>
      </c>
      <c r="AH37" s="1" t="str">
        <f t="shared" si="4"/>
        <v>-</v>
      </c>
      <c r="AK37" s="183" t="s">
        <v>458</v>
      </c>
      <c r="AL37" s="183"/>
      <c r="AM37" s="183"/>
      <c r="AN37" s="184" t="s">
        <v>213</v>
      </c>
    </row>
    <row r="38" ht="14.25" customHeight="1">
      <c r="N38" s="7"/>
      <c r="O38" s="7"/>
      <c r="P38" s="7"/>
      <c r="Q38" s="7"/>
      <c r="R38" s="7"/>
      <c r="Y38" s="183" t="s">
        <v>439</v>
      </c>
      <c r="Z38" s="183"/>
      <c r="AA38" s="183"/>
      <c r="AB38" s="184" t="str">
        <f>H97</f>
        <v>INT</v>
      </c>
      <c r="AC38" s="183">
        <f t="shared" si="6"/>
        <v>2</v>
      </c>
      <c r="AH38" s="1" t="str">
        <f t="shared" si="4"/>
        <v>-</v>
      </c>
      <c r="AK38" s="183" t="s">
        <v>459</v>
      </c>
      <c r="AL38" s="183"/>
      <c r="AM38" s="183"/>
      <c r="AN38" s="184" t="s">
        <v>213</v>
      </c>
    </row>
    <row r="39" ht="14.25" customHeight="1">
      <c r="Y39" s="183" t="s">
        <v>460</v>
      </c>
      <c r="Z39" s="183"/>
      <c r="AA39" s="183"/>
      <c r="AB39" s="184" t="str">
        <f>W85</f>
        <v>STR</v>
      </c>
      <c r="AC39" s="183">
        <f t="shared" si="6"/>
        <v>2</v>
      </c>
      <c r="AH39" s="1" t="str">
        <f t="shared" si="4"/>
        <v>-</v>
      </c>
      <c r="AK39" s="205" t="s">
        <v>461</v>
      </c>
      <c r="AL39" s="205"/>
      <c r="AM39" s="205"/>
      <c r="AN39" s="206" t="s">
        <v>213</v>
      </c>
    </row>
    <row r="40" ht="14.25" customHeight="1">
      <c r="M40" s="7"/>
      <c r="Y40" s="183" t="s">
        <v>455</v>
      </c>
      <c r="Z40" s="183"/>
      <c r="AA40" s="183"/>
      <c r="AB40" s="184" t="str">
        <f>IFNA(VLOOKUP(Y40,$L$69:$P$92,5,FALSE),VLOOKUP(Y40,$D$69:$H$80,5,FALSE))</f>
        <v>PER</v>
      </c>
      <c r="AC40" s="183">
        <f t="shared" si="6"/>
        <v>3</v>
      </c>
      <c r="AH40" s="1" t="str">
        <f>IF(IFNA(VLOOKUP(Y40,Y53:$Y$70,1,FALSE),"-")=Y40,"Duplicate","-")</f>
        <v>-</v>
      </c>
      <c r="AK40" s="183" t="s">
        <v>413</v>
      </c>
      <c r="AL40" s="183"/>
      <c r="AM40" s="183"/>
      <c r="AN40" s="184" t="s">
        <v>256</v>
      </c>
    </row>
    <row r="41" ht="14.25" customHeight="1">
      <c r="C41" s="174" t="s">
        <v>462</v>
      </c>
      <c r="D41" s="202" t="s">
        <v>443</v>
      </c>
      <c r="E41" s="176"/>
      <c r="F41" s="176"/>
      <c r="G41" s="177"/>
      <c r="H41" s="219" t="s">
        <v>14</v>
      </c>
      <c r="M41" s="170"/>
      <c r="Y41" s="183"/>
      <c r="Z41" s="183"/>
      <c r="AA41" s="183"/>
      <c r="AB41" s="184"/>
      <c r="AC41" s="183"/>
      <c r="AK41" s="183"/>
      <c r="AL41" s="183"/>
      <c r="AM41" s="183"/>
      <c r="AN41" s="184"/>
    </row>
    <row r="42" ht="14.25" customHeight="1">
      <c r="D42" s="181"/>
      <c r="E42" s="48"/>
      <c r="F42" s="48"/>
      <c r="G42" s="179"/>
      <c r="H42" s="180"/>
      <c r="M42" s="170"/>
      <c r="Y42" s="183"/>
      <c r="Z42" s="183"/>
      <c r="AA42" s="183"/>
      <c r="AB42" s="184"/>
      <c r="AC42" s="183"/>
      <c r="AK42" s="183"/>
      <c r="AL42" s="183"/>
      <c r="AM42" s="183"/>
      <c r="AN42" s="184"/>
    </row>
    <row r="43" ht="14.25" customHeight="1">
      <c r="M43" s="170"/>
      <c r="Y43" s="183"/>
      <c r="Z43" s="183"/>
      <c r="AA43" s="183"/>
      <c r="AB43" s="184"/>
      <c r="AC43" s="183"/>
      <c r="AK43" s="183"/>
      <c r="AL43" s="183"/>
      <c r="AM43" s="183"/>
      <c r="AN43" s="184"/>
    </row>
    <row r="44" ht="14.25" customHeight="1">
      <c r="M44" s="170"/>
      <c r="Y44" s="183"/>
      <c r="Z44" s="183"/>
      <c r="AA44" s="183"/>
      <c r="AB44" s="184"/>
      <c r="AC44" s="183"/>
      <c r="AK44" s="183"/>
      <c r="AL44" s="183"/>
      <c r="AM44" s="183"/>
      <c r="AN44" s="184"/>
    </row>
    <row r="45" ht="18.0" customHeight="1">
      <c r="D45" s="211" t="s">
        <v>434</v>
      </c>
      <c r="H45" s="212" t="s">
        <v>160</v>
      </c>
      <c r="M45" s="170"/>
      <c r="Y45" s="183"/>
      <c r="Z45" s="183"/>
      <c r="AA45" s="183"/>
      <c r="AB45" s="184"/>
      <c r="AC45" s="183"/>
      <c r="AK45" s="183"/>
      <c r="AL45" s="183"/>
      <c r="AM45" s="183"/>
      <c r="AN45" s="184"/>
    </row>
    <row r="46" ht="14.25" customHeight="1">
      <c r="D46" s="7"/>
      <c r="E46" s="7"/>
      <c r="F46" s="7"/>
      <c r="G46" s="7"/>
      <c r="H46" s="7"/>
      <c r="M46" s="170"/>
      <c r="Y46" s="183"/>
      <c r="Z46" s="183"/>
      <c r="AA46" s="183"/>
      <c r="AB46" s="184"/>
      <c r="AC46" s="183"/>
      <c r="AK46" s="183"/>
      <c r="AL46" s="183"/>
      <c r="AM46" s="183"/>
      <c r="AN46" s="184"/>
    </row>
    <row r="47" ht="18.0" customHeight="1">
      <c r="D47" s="221" t="s">
        <v>418</v>
      </c>
      <c r="E47" s="3"/>
      <c r="F47" s="3"/>
      <c r="G47" s="4"/>
      <c r="H47" s="216" t="s">
        <v>14</v>
      </c>
      <c r="M47" s="170"/>
      <c r="Y47" s="183"/>
      <c r="Z47" s="183"/>
      <c r="AA47" s="183"/>
      <c r="AB47" s="184"/>
      <c r="AC47" s="183"/>
      <c r="AK47" s="183"/>
      <c r="AL47" s="183"/>
      <c r="AM47" s="183"/>
      <c r="AN47" s="184"/>
    </row>
    <row r="48" ht="14.25" customHeight="1">
      <c r="D48" s="198"/>
      <c r="E48" s="7"/>
      <c r="F48" s="7"/>
      <c r="G48" s="8"/>
      <c r="H48" s="199"/>
      <c r="M48" s="170"/>
      <c r="Y48" s="183"/>
      <c r="Z48" s="183"/>
      <c r="AA48" s="183"/>
      <c r="AB48" s="184"/>
      <c r="AC48" s="183"/>
      <c r="AK48" s="183"/>
      <c r="AL48" s="183"/>
      <c r="AM48" s="183"/>
      <c r="AN48" s="184"/>
    </row>
    <row r="49" ht="14.25" customHeight="1">
      <c r="D49" s="211" t="s">
        <v>456</v>
      </c>
      <c r="H49" s="212" t="s">
        <v>81</v>
      </c>
      <c r="M49" s="170"/>
      <c r="Y49" s="183"/>
      <c r="Z49" s="183"/>
      <c r="AA49" s="183"/>
      <c r="AB49" s="184"/>
      <c r="AC49" s="183"/>
      <c r="AK49" s="183"/>
      <c r="AL49" s="183"/>
      <c r="AM49" s="183"/>
      <c r="AN49" s="184"/>
    </row>
    <row r="50" ht="18.0" customHeight="1">
      <c r="M50" s="170"/>
      <c r="Y50" s="183"/>
      <c r="Z50" s="183"/>
      <c r="AA50" s="183"/>
      <c r="AB50" s="184"/>
      <c r="AC50" s="183"/>
      <c r="AK50" s="183"/>
      <c r="AL50" s="183"/>
      <c r="AM50" s="183"/>
      <c r="AN50" s="184"/>
    </row>
    <row r="51" ht="14.25" customHeight="1">
      <c r="M51" s="170"/>
      <c r="Y51" s="183"/>
      <c r="Z51" s="183"/>
      <c r="AA51" s="183"/>
      <c r="AB51" s="184"/>
      <c r="AC51" s="183"/>
      <c r="AK51" s="183"/>
      <c r="AL51" s="183"/>
      <c r="AM51" s="183"/>
      <c r="AN51" s="184"/>
    </row>
    <row r="52" ht="14.25" customHeight="1">
      <c r="M52" s="170"/>
      <c r="Y52" s="183"/>
      <c r="Z52" s="183"/>
      <c r="AA52" s="183"/>
      <c r="AB52" s="184"/>
      <c r="AC52" s="183"/>
      <c r="AK52" s="183"/>
      <c r="AL52" s="183"/>
      <c r="AM52" s="183"/>
      <c r="AN52" s="184"/>
    </row>
    <row r="53" ht="14.25" customHeight="1">
      <c r="C53" s="174" t="s">
        <v>463</v>
      </c>
      <c r="D53" s="222" t="s">
        <v>464</v>
      </c>
      <c r="E53" s="176"/>
      <c r="F53" s="176"/>
      <c r="G53" s="177"/>
      <c r="H53" s="223" t="s">
        <v>14</v>
      </c>
      <c r="J53" s="1" t="s">
        <v>465</v>
      </c>
      <c r="M53" s="174" t="s">
        <v>466</v>
      </c>
      <c r="N53" s="202" t="s">
        <v>467</v>
      </c>
      <c r="O53" s="176"/>
      <c r="P53" s="176"/>
      <c r="Q53" s="177"/>
      <c r="R53" s="203" t="s">
        <v>14</v>
      </c>
      <c r="T53" s="1" t="s">
        <v>468</v>
      </c>
      <c r="Y53" s="183" t="s">
        <v>441</v>
      </c>
      <c r="Z53" s="213"/>
      <c r="AA53" s="213"/>
      <c r="AB53" s="184" t="str">
        <f t="shared" ref="AB53:AB54" si="8">IFNA(VLOOKUP(Y53,$L$69:$P$92,5,FALSE),VLOOKUP(Y53,$D$69:$H$80,5,FALSE))</f>
        <v>INT</v>
      </c>
      <c r="AC53" s="183">
        <f t="shared" ref="AC53:AC60" si="9">COUNTIF($D$5:$Q$64,Y53)+COUNTIF($D$69:$V$149,Y53)</f>
        <v>2</v>
      </c>
      <c r="AH53" s="1" t="str">
        <f t="shared" ref="AH53:AH65" si="10">IF(IFNA(VLOOKUP(Y53,$Y54:Y$70,1,FALSE),"-")=Y53,"Duplicate","-")</f>
        <v>-</v>
      </c>
      <c r="AK53" s="183" t="s">
        <v>448</v>
      </c>
      <c r="AL53" s="183"/>
      <c r="AM53" s="183"/>
      <c r="AN53" s="184" t="s">
        <v>256</v>
      </c>
    </row>
    <row r="54" ht="14.25" customHeight="1">
      <c r="D54" s="181"/>
      <c r="E54" s="48"/>
      <c r="F54" s="48"/>
      <c r="G54" s="179"/>
      <c r="H54" s="182"/>
      <c r="N54" s="181"/>
      <c r="O54" s="48"/>
      <c r="P54" s="48"/>
      <c r="Q54" s="179"/>
      <c r="R54" s="182"/>
      <c r="T54" s="224" t="s">
        <v>469</v>
      </c>
      <c r="Y54" s="205" t="s">
        <v>449</v>
      </c>
      <c r="Z54" s="205"/>
      <c r="AA54" s="205"/>
      <c r="AB54" s="206" t="str">
        <f t="shared" si="8"/>
        <v>INT</v>
      </c>
      <c r="AC54" s="205">
        <f t="shared" si="9"/>
        <v>1</v>
      </c>
      <c r="AH54" s="1" t="str">
        <f t="shared" si="10"/>
        <v>-</v>
      </c>
      <c r="AK54" s="183" t="s">
        <v>457</v>
      </c>
      <c r="AL54" s="183"/>
      <c r="AM54" s="183"/>
      <c r="AN54" s="184" t="s">
        <v>256</v>
      </c>
    </row>
    <row r="55" ht="14.25" customHeight="1">
      <c r="D55" s="215" t="s">
        <v>470</v>
      </c>
      <c r="E55" s="3"/>
      <c r="F55" s="3"/>
      <c r="G55" s="4"/>
      <c r="H55" s="216" t="s">
        <v>81</v>
      </c>
      <c r="N55" s="207" t="s">
        <v>471</v>
      </c>
      <c r="O55" s="3"/>
      <c r="P55" s="3"/>
      <c r="Q55" s="4"/>
      <c r="R55" s="208" t="s">
        <v>42</v>
      </c>
      <c r="Y55" s="205" t="s">
        <v>450</v>
      </c>
      <c r="Z55" s="205"/>
      <c r="AA55" s="205"/>
      <c r="AB55" s="206" t="str">
        <f>P105</f>
        <v>INT</v>
      </c>
      <c r="AC55" s="205">
        <f t="shared" si="9"/>
        <v>1</v>
      </c>
      <c r="AH55" s="1" t="str">
        <f t="shared" si="10"/>
        <v>-</v>
      </c>
      <c r="AK55" s="183" t="s">
        <v>460</v>
      </c>
      <c r="AL55" s="183"/>
      <c r="AM55" s="183"/>
      <c r="AN55" s="184" t="s">
        <v>256</v>
      </c>
    </row>
    <row r="56" ht="14.25" customHeight="1">
      <c r="D56" s="198"/>
      <c r="E56" s="7"/>
      <c r="F56" s="7"/>
      <c r="G56" s="8"/>
      <c r="H56" s="199"/>
      <c r="N56" s="181"/>
      <c r="O56" s="48"/>
      <c r="P56" s="48"/>
      <c r="Q56" s="179"/>
      <c r="R56" s="182"/>
      <c r="T56" s="224" t="s">
        <v>472</v>
      </c>
      <c r="Y56" s="183" t="s">
        <v>473</v>
      </c>
      <c r="Z56" s="183"/>
      <c r="AA56" s="183"/>
      <c r="AB56" s="184" t="str">
        <f>P95</f>
        <v>STR</v>
      </c>
      <c r="AC56" s="183">
        <f t="shared" si="9"/>
        <v>2</v>
      </c>
      <c r="AH56" s="1" t="str">
        <f t="shared" si="10"/>
        <v>-</v>
      </c>
      <c r="AK56" s="183" t="s">
        <v>473</v>
      </c>
      <c r="AL56" s="183"/>
      <c r="AM56" s="183"/>
      <c r="AN56" s="184" t="s">
        <v>256</v>
      </c>
    </row>
    <row r="57" ht="14.25" customHeight="1">
      <c r="D57" s="192" t="s">
        <v>415</v>
      </c>
      <c r="E57" s="176"/>
      <c r="F57" s="176"/>
      <c r="G57" s="176"/>
      <c r="H57" s="193" t="s">
        <v>14</v>
      </c>
      <c r="N57" s="211" t="s">
        <v>472</v>
      </c>
      <c r="R57" s="212" t="s">
        <v>81</v>
      </c>
      <c r="Y57" s="205" t="s">
        <v>427</v>
      </c>
      <c r="Z57" s="205"/>
      <c r="AA57" s="205"/>
      <c r="AB57" s="206" t="str">
        <f>H81</f>
        <v>CAR</v>
      </c>
      <c r="AC57" s="205">
        <f t="shared" si="9"/>
        <v>1</v>
      </c>
      <c r="AH57" s="1" t="str">
        <f t="shared" si="10"/>
        <v>-</v>
      </c>
      <c r="AK57" s="183" t="s">
        <v>474</v>
      </c>
      <c r="AL57" s="183"/>
      <c r="AM57" s="183"/>
      <c r="AN57" s="184" t="s">
        <v>256</v>
      </c>
    </row>
    <row r="58" ht="14.25" customHeight="1">
      <c r="D58" s="190"/>
      <c r="H58" s="30"/>
      <c r="T58" s="224" t="s">
        <v>413</v>
      </c>
      <c r="Y58" s="183" t="s">
        <v>411</v>
      </c>
      <c r="Z58" s="183"/>
      <c r="AA58" s="183"/>
      <c r="AB58" s="184" t="str">
        <f>W83</f>
        <v>AGI</v>
      </c>
      <c r="AC58" s="183">
        <f t="shared" si="9"/>
        <v>2</v>
      </c>
      <c r="AH58" s="1" t="str">
        <f t="shared" si="10"/>
        <v>-</v>
      </c>
      <c r="AK58" s="183" t="s">
        <v>409</v>
      </c>
      <c r="AL58" s="183"/>
      <c r="AM58" s="183"/>
      <c r="AN58" s="184" t="s">
        <v>81</v>
      </c>
    </row>
    <row r="59" ht="14.25" customHeight="1">
      <c r="D59" s="211" t="s">
        <v>472</v>
      </c>
      <c r="H59" s="212" t="s">
        <v>81</v>
      </c>
      <c r="N59" s="187" t="s">
        <v>413</v>
      </c>
      <c r="R59" s="188" t="s">
        <v>256</v>
      </c>
      <c r="Y59" s="183" t="s">
        <v>458</v>
      </c>
      <c r="Z59" s="183"/>
      <c r="AA59" s="183"/>
      <c r="AB59" s="184" t="str">
        <f>H85</f>
        <v>PER</v>
      </c>
      <c r="AC59" s="183">
        <f t="shared" si="9"/>
        <v>2</v>
      </c>
      <c r="AH59" s="1" t="str">
        <f t="shared" si="10"/>
        <v>-</v>
      </c>
      <c r="AK59" s="183" t="s">
        <v>456</v>
      </c>
      <c r="AL59" s="183"/>
      <c r="AM59" s="183"/>
      <c r="AN59" s="184" t="s">
        <v>81</v>
      </c>
    </row>
    <row r="60" ht="14.25" customHeight="1">
      <c r="N60" s="198"/>
      <c r="O60" s="7"/>
      <c r="P60" s="7"/>
      <c r="Q60" s="7"/>
      <c r="R60" s="42"/>
      <c r="T60" s="224" t="s">
        <v>418</v>
      </c>
      <c r="Y60" s="183" t="s">
        <v>459</v>
      </c>
      <c r="Z60" s="183"/>
      <c r="AA60" s="183"/>
      <c r="AB60" s="184" t="str">
        <f>H112</f>
        <v>PER</v>
      </c>
      <c r="AC60" s="183">
        <f t="shared" si="9"/>
        <v>2</v>
      </c>
      <c r="AH60" s="1" t="str">
        <f t="shared" si="10"/>
        <v>-</v>
      </c>
      <c r="AK60" s="183" t="s">
        <v>472</v>
      </c>
      <c r="AL60" s="183"/>
      <c r="AM60" s="183"/>
      <c r="AN60" s="184" t="s">
        <v>81</v>
      </c>
    </row>
    <row r="61" ht="14.25" customHeight="1">
      <c r="D61" s="225" t="s">
        <v>441</v>
      </c>
      <c r="E61" s="3"/>
      <c r="F61" s="3"/>
      <c r="G61" s="4"/>
      <c r="H61" s="226" t="s">
        <v>160</v>
      </c>
      <c r="N61" s="221" t="s">
        <v>418</v>
      </c>
      <c r="O61" s="3"/>
      <c r="P61" s="3"/>
      <c r="Q61" s="4"/>
      <c r="R61" s="216" t="s">
        <v>14</v>
      </c>
      <c r="AH61" s="1" t="str">
        <f t="shared" si="10"/>
        <v>-</v>
      </c>
      <c r="AK61" s="183" t="s">
        <v>475</v>
      </c>
      <c r="AL61" s="183"/>
      <c r="AM61" s="183"/>
      <c r="AN61" s="184" t="s">
        <v>81</v>
      </c>
    </row>
    <row r="62" ht="14.25" customHeight="1">
      <c r="D62" s="47"/>
      <c r="E62" s="48"/>
      <c r="F62" s="48"/>
      <c r="G62" s="179"/>
      <c r="H62" s="180"/>
      <c r="N62" s="198"/>
      <c r="O62" s="7"/>
      <c r="P62" s="7"/>
      <c r="Q62" s="8"/>
      <c r="R62" s="199"/>
      <c r="Y62" s="205" t="s">
        <v>461</v>
      </c>
      <c r="Z62" s="205"/>
      <c r="AA62" s="205"/>
      <c r="AB62" s="206" t="str">
        <f>P101</f>
        <v>PER</v>
      </c>
      <c r="AC62" s="205">
        <f t="shared" ref="AC62:AC65" si="11">COUNTIF($D$5:$Q$64,Y62)+COUNTIF($D$69:$V$149,Y62)</f>
        <v>1</v>
      </c>
      <c r="AH62" s="1" t="str">
        <f t="shared" si="10"/>
        <v>-</v>
      </c>
      <c r="AK62" s="183" t="s">
        <v>437</v>
      </c>
      <c r="AL62" s="183"/>
      <c r="AM62" s="183"/>
      <c r="AN62" s="184" t="s">
        <v>81</v>
      </c>
    </row>
    <row r="63" ht="14.25" customHeight="1">
      <c r="Y63" s="183" t="s">
        <v>476</v>
      </c>
      <c r="Z63" s="183"/>
      <c r="AA63" s="183"/>
      <c r="AB63" s="184" t="str">
        <f>W81</f>
        <v>WIL</v>
      </c>
      <c r="AC63" s="183">
        <f t="shared" si="11"/>
        <v>2</v>
      </c>
      <c r="AH63" s="1" t="str">
        <f t="shared" si="10"/>
        <v>-</v>
      </c>
      <c r="AK63" s="205" t="s">
        <v>454</v>
      </c>
      <c r="AL63" s="205"/>
      <c r="AM63" s="205"/>
      <c r="AN63" s="206" t="s">
        <v>81</v>
      </c>
    </row>
    <row r="64" ht="14.25" customHeight="1">
      <c r="C64" s="7"/>
      <c r="M64" s="7"/>
      <c r="Y64" s="205" t="s">
        <v>452</v>
      </c>
      <c r="Z64" s="205"/>
      <c r="AA64" s="205"/>
      <c r="AB64" s="206" t="s">
        <v>160</v>
      </c>
      <c r="AC64" s="205">
        <f t="shared" si="11"/>
        <v>1</v>
      </c>
      <c r="AH64" s="1" t="str">
        <f t="shared" si="10"/>
        <v>-</v>
      </c>
      <c r="AK64" s="183" t="s">
        <v>476</v>
      </c>
      <c r="AL64" s="183"/>
      <c r="AM64" s="183"/>
      <c r="AN64" s="184" t="s">
        <v>81</v>
      </c>
    </row>
    <row r="65" ht="14.25" customHeight="1">
      <c r="Y65" s="183" t="s">
        <v>474</v>
      </c>
      <c r="Z65" s="183"/>
      <c r="AA65" s="183"/>
      <c r="AB65" s="184" t="str">
        <f>R59</f>
        <v>STR</v>
      </c>
      <c r="AC65" s="183">
        <f t="shared" si="11"/>
        <v>2</v>
      </c>
      <c r="AH65" s="1" t="str">
        <f t="shared" si="10"/>
        <v>-</v>
      </c>
      <c r="AK65" s="78"/>
      <c r="AL65" s="78"/>
      <c r="AM65" s="78"/>
      <c r="AN65" s="197"/>
    </row>
    <row r="66" ht="14.25" customHeight="1"/>
    <row r="67" ht="14.25" customHeight="1"/>
    <row r="68" ht="14.25" customHeight="1"/>
    <row r="69" ht="14.25" customHeight="1">
      <c r="C69" s="227" t="s">
        <v>477</v>
      </c>
      <c r="D69" s="228" t="s">
        <v>437</v>
      </c>
      <c r="E69" s="176"/>
      <c r="F69" s="176"/>
      <c r="G69" s="177"/>
      <c r="H69" s="223" t="s">
        <v>81</v>
      </c>
      <c r="I69" s="1" t="s">
        <v>478</v>
      </c>
      <c r="K69" s="229" t="s">
        <v>479</v>
      </c>
      <c r="L69" s="230" t="s">
        <v>455</v>
      </c>
      <c r="M69" s="176"/>
      <c r="N69" s="176"/>
      <c r="O69" s="177"/>
      <c r="P69" s="231" t="s">
        <v>213</v>
      </c>
      <c r="Q69" s="1" t="s">
        <v>480</v>
      </c>
      <c r="R69" s="232" t="s">
        <v>481</v>
      </c>
      <c r="S69" s="233" t="s">
        <v>452</v>
      </c>
      <c r="T69" s="3"/>
      <c r="U69" s="3"/>
      <c r="V69" s="4"/>
      <c r="W69" s="234" t="s">
        <v>160</v>
      </c>
      <c r="X69" s="1" t="s">
        <v>482</v>
      </c>
    </row>
    <row r="70" ht="14.25" customHeight="1">
      <c r="C70" s="235"/>
      <c r="D70" s="181"/>
      <c r="E70" s="48"/>
      <c r="F70" s="48"/>
      <c r="G70" s="179"/>
      <c r="H70" s="182"/>
      <c r="K70" s="235"/>
      <c r="L70" s="181"/>
      <c r="M70" s="48"/>
      <c r="N70" s="48"/>
      <c r="O70" s="179"/>
      <c r="P70" s="182"/>
      <c r="R70" s="235"/>
      <c r="S70" s="47"/>
      <c r="T70" s="48"/>
      <c r="U70" s="48"/>
      <c r="V70" s="179"/>
      <c r="W70" s="180"/>
    </row>
    <row r="71" ht="14.25" customHeight="1">
      <c r="C71" s="235"/>
      <c r="D71" s="187" t="s">
        <v>415</v>
      </c>
      <c r="H71" s="188" t="s">
        <v>14</v>
      </c>
      <c r="K71" s="235"/>
      <c r="L71" s="236" t="s">
        <v>433</v>
      </c>
      <c r="P71" s="188" t="s">
        <v>160</v>
      </c>
      <c r="R71" s="235"/>
      <c r="S71" s="187" t="s">
        <v>407</v>
      </c>
      <c r="W71" s="188" t="s">
        <v>42</v>
      </c>
    </row>
    <row r="72" ht="14.25" customHeight="1">
      <c r="C72" s="235"/>
      <c r="D72" s="198"/>
      <c r="E72" s="7"/>
      <c r="F72" s="7"/>
      <c r="G72" s="7"/>
      <c r="H72" s="42"/>
      <c r="K72" s="235"/>
      <c r="L72" s="198"/>
      <c r="M72" s="7"/>
      <c r="N72" s="7"/>
      <c r="O72" s="7"/>
      <c r="P72" s="42"/>
      <c r="R72" s="235"/>
      <c r="S72" s="198"/>
      <c r="T72" s="7"/>
      <c r="U72" s="7"/>
      <c r="V72" s="7"/>
      <c r="W72" s="42"/>
    </row>
    <row r="73" ht="14.25" customHeight="1">
      <c r="C73" s="235"/>
      <c r="D73" s="225" t="s">
        <v>434</v>
      </c>
      <c r="E73" s="3"/>
      <c r="F73" s="3"/>
      <c r="G73" s="4"/>
      <c r="H73" s="226" t="s">
        <v>160</v>
      </c>
      <c r="K73" s="235"/>
      <c r="L73" s="171" t="s">
        <v>414</v>
      </c>
      <c r="M73" s="3"/>
      <c r="N73" s="3"/>
      <c r="O73" s="4"/>
      <c r="P73" s="208" t="s">
        <v>81</v>
      </c>
      <c r="R73" s="235"/>
      <c r="S73" s="237" t="s">
        <v>448</v>
      </c>
      <c r="T73" s="3"/>
      <c r="U73" s="3"/>
      <c r="V73" s="4"/>
      <c r="W73" s="208" t="s">
        <v>256</v>
      </c>
    </row>
    <row r="74" ht="14.25" customHeight="1">
      <c r="C74" s="180"/>
      <c r="D74" s="6"/>
      <c r="E74" s="7"/>
      <c r="F74" s="7"/>
      <c r="G74" s="8"/>
      <c r="H74" s="238"/>
      <c r="K74" s="238"/>
      <c r="L74" s="47"/>
      <c r="M74" s="48"/>
      <c r="N74" s="48"/>
      <c r="O74" s="179"/>
      <c r="P74" s="182"/>
      <c r="R74" s="238"/>
      <c r="S74" s="181"/>
      <c r="T74" s="48"/>
      <c r="U74" s="48"/>
      <c r="V74" s="179"/>
      <c r="W74" s="182"/>
    </row>
    <row r="75" ht="14.25" customHeight="1">
      <c r="C75" s="239" t="s">
        <v>483</v>
      </c>
      <c r="D75" s="240" t="s">
        <v>454</v>
      </c>
      <c r="E75" s="176"/>
      <c r="F75" s="176"/>
      <c r="G75" s="177"/>
      <c r="H75" s="241" t="s">
        <v>81</v>
      </c>
      <c r="I75" s="1" t="s">
        <v>478</v>
      </c>
      <c r="K75" s="232" t="s">
        <v>484</v>
      </c>
      <c r="L75" s="225" t="s">
        <v>441</v>
      </c>
      <c r="M75" s="3"/>
      <c r="N75" s="3"/>
      <c r="O75" s="4"/>
      <c r="P75" s="226" t="s">
        <v>160</v>
      </c>
      <c r="Q75" s="1" t="s">
        <v>485</v>
      </c>
      <c r="R75" s="227" t="s">
        <v>486</v>
      </c>
      <c r="S75" s="242" t="s">
        <v>410</v>
      </c>
      <c r="T75" s="176"/>
      <c r="U75" s="176"/>
      <c r="V75" s="177"/>
      <c r="W75" s="243" t="s">
        <v>42</v>
      </c>
      <c r="X75" s="1" t="s">
        <v>482</v>
      </c>
    </row>
    <row r="76" ht="14.25" customHeight="1">
      <c r="C76" s="235"/>
      <c r="D76" s="181"/>
      <c r="E76" s="48"/>
      <c r="F76" s="48"/>
      <c r="G76" s="179"/>
      <c r="H76" s="182"/>
      <c r="K76" s="235"/>
      <c r="L76" s="47"/>
      <c r="M76" s="48"/>
      <c r="N76" s="48"/>
      <c r="O76" s="179"/>
      <c r="P76" s="180"/>
      <c r="R76" s="235"/>
      <c r="S76" s="6"/>
      <c r="T76" s="7"/>
      <c r="U76" s="7"/>
      <c r="V76" s="8"/>
      <c r="W76" s="238"/>
    </row>
    <row r="77" ht="14.25" customHeight="1">
      <c r="C77" s="235"/>
      <c r="D77" s="221" t="s">
        <v>418</v>
      </c>
      <c r="E77" s="3"/>
      <c r="F77" s="3"/>
      <c r="G77" s="4"/>
      <c r="H77" s="216" t="s">
        <v>14</v>
      </c>
      <c r="K77" s="235"/>
      <c r="L77" s="225" t="s">
        <v>455</v>
      </c>
      <c r="M77" s="3"/>
      <c r="N77" s="3"/>
      <c r="O77" s="4"/>
      <c r="P77" s="226" t="s">
        <v>213</v>
      </c>
      <c r="R77" s="235"/>
      <c r="S77" s="228" t="s">
        <v>437</v>
      </c>
      <c r="T77" s="176"/>
      <c r="U77" s="176"/>
      <c r="V77" s="177"/>
      <c r="W77" s="223" t="s">
        <v>81</v>
      </c>
    </row>
    <row r="78" ht="14.25" customHeight="1">
      <c r="C78" s="235"/>
      <c r="D78" s="198"/>
      <c r="E78" s="7"/>
      <c r="F78" s="7"/>
      <c r="G78" s="8"/>
      <c r="H78" s="199"/>
      <c r="K78" s="235"/>
      <c r="L78" s="47"/>
      <c r="M78" s="48"/>
      <c r="N78" s="48"/>
      <c r="O78" s="179"/>
      <c r="P78" s="180"/>
      <c r="R78" s="235"/>
      <c r="S78" s="181"/>
      <c r="T78" s="48"/>
      <c r="U78" s="48"/>
      <c r="V78" s="179"/>
      <c r="W78" s="182"/>
    </row>
    <row r="79" ht="14.25" customHeight="1">
      <c r="C79" s="235"/>
      <c r="D79" s="244" t="s">
        <v>473</v>
      </c>
      <c r="E79" s="3"/>
      <c r="F79" s="3"/>
      <c r="G79" s="4"/>
      <c r="H79" s="173" t="s">
        <v>256</v>
      </c>
      <c r="K79" s="235"/>
      <c r="L79" s="245" t="s">
        <v>449</v>
      </c>
      <c r="M79" s="3"/>
      <c r="N79" s="3"/>
      <c r="O79" s="4"/>
      <c r="P79" s="234" t="s">
        <v>160</v>
      </c>
      <c r="R79" s="235"/>
      <c r="S79" s="246" t="s">
        <v>457</v>
      </c>
      <c r="T79" s="3"/>
      <c r="U79" s="3"/>
      <c r="V79" s="4"/>
      <c r="W79" s="208" t="s">
        <v>256</v>
      </c>
    </row>
    <row r="80" ht="14.25" customHeight="1">
      <c r="C80" s="238"/>
      <c r="D80" s="6"/>
      <c r="E80" s="7"/>
      <c r="F80" s="7"/>
      <c r="G80" s="8"/>
      <c r="H80" s="238"/>
      <c r="K80" s="238"/>
      <c r="L80" s="47"/>
      <c r="M80" s="48"/>
      <c r="N80" s="48"/>
      <c r="O80" s="179"/>
      <c r="P80" s="180"/>
      <c r="R80" s="180"/>
      <c r="S80" s="198"/>
      <c r="T80" s="7"/>
      <c r="U80" s="7"/>
      <c r="V80" s="8"/>
      <c r="W80" s="199"/>
    </row>
    <row r="81" ht="14.25" customHeight="1">
      <c r="C81" s="247" t="s">
        <v>487</v>
      </c>
      <c r="D81" s="248" t="s">
        <v>427</v>
      </c>
      <c r="E81" s="176"/>
      <c r="F81" s="176"/>
      <c r="G81" s="177"/>
      <c r="H81" s="241" t="s">
        <v>14</v>
      </c>
      <c r="I81" s="1" t="s">
        <v>478</v>
      </c>
      <c r="K81" s="249" t="s">
        <v>488</v>
      </c>
      <c r="L81" s="250" t="s">
        <v>417</v>
      </c>
      <c r="M81" s="176"/>
      <c r="N81" s="176"/>
      <c r="O81" s="176"/>
      <c r="P81" s="193" t="s">
        <v>14</v>
      </c>
      <c r="Q81" s="1" t="s">
        <v>485</v>
      </c>
      <c r="R81" s="229" t="s">
        <v>489</v>
      </c>
      <c r="S81" s="251" t="s">
        <v>476</v>
      </c>
      <c r="T81" s="176"/>
      <c r="U81" s="176"/>
      <c r="V81" s="177"/>
      <c r="W81" s="178" t="s">
        <v>81</v>
      </c>
      <c r="X81" s="1" t="s">
        <v>482</v>
      </c>
    </row>
    <row r="82" ht="14.25" customHeight="1">
      <c r="C82" s="235"/>
      <c r="D82" s="181"/>
      <c r="E82" s="48"/>
      <c r="F82" s="48"/>
      <c r="G82" s="179"/>
      <c r="H82" s="182"/>
      <c r="K82" s="235"/>
      <c r="L82" s="190"/>
      <c r="P82" s="30"/>
      <c r="R82" s="235"/>
      <c r="S82" s="181"/>
      <c r="T82" s="48"/>
      <c r="U82" s="48"/>
      <c r="V82" s="179"/>
      <c r="W82" s="182"/>
    </row>
    <row r="83" ht="14.25" customHeight="1">
      <c r="C83" s="235"/>
      <c r="D83" s="187" t="s">
        <v>456</v>
      </c>
      <c r="H83" s="188" t="s">
        <v>81</v>
      </c>
      <c r="K83" s="235"/>
      <c r="L83" s="236" t="s">
        <v>433</v>
      </c>
      <c r="P83" s="188" t="s">
        <v>160</v>
      </c>
      <c r="R83" s="235"/>
      <c r="S83" s="237" t="s">
        <v>411</v>
      </c>
      <c r="T83" s="3"/>
      <c r="U83" s="3"/>
      <c r="V83" s="4"/>
      <c r="W83" s="208" t="s">
        <v>42</v>
      </c>
    </row>
    <row r="84" ht="14.25" customHeight="1">
      <c r="C84" s="235"/>
      <c r="D84" s="198"/>
      <c r="E84" s="7"/>
      <c r="F84" s="7"/>
      <c r="G84" s="7"/>
      <c r="H84" s="42"/>
      <c r="K84" s="235"/>
      <c r="L84" s="198"/>
      <c r="M84" s="7"/>
      <c r="N84" s="7"/>
      <c r="O84" s="7"/>
      <c r="P84" s="42"/>
      <c r="R84" s="235"/>
      <c r="S84" s="198"/>
      <c r="T84" s="7"/>
      <c r="U84" s="7"/>
      <c r="V84" s="8"/>
      <c r="W84" s="199"/>
    </row>
    <row r="85" ht="14.25" customHeight="1">
      <c r="C85" s="235"/>
      <c r="D85" s="252" t="s">
        <v>458</v>
      </c>
      <c r="E85" s="3"/>
      <c r="F85" s="3"/>
      <c r="G85" s="4"/>
      <c r="H85" s="253" t="s">
        <v>213</v>
      </c>
      <c r="K85" s="235"/>
      <c r="L85" s="254" t="s">
        <v>459</v>
      </c>
      <c r="M85" s="176"/>
      <c r="N85" s="176"/>
      <c r="O85" s="177"/>
      <c r="P85" s="255" t="s">
        <v>213</v>
      </c>
      <c r="R85" s="235"/>
      <c r="S85" s="256" t="s">
        <v>460</v>
      </c>
      <c r="T85" s="3"/>
      <c r="U85" s="3"/>
      <c r="V85" s="4"/>
      <c r="W85" s="173" t="s">
        <v>256</v>
      </c>
    </row>
    <row r="86" ht="14.25" customHeight="1">
      <c r="C86" s="238"/>
      <c r="D86" s="47"/>
      <c r="E86" s="48"/>
      <c r="F86" s="48"/>
      <c r="G86" s="179"/>
      <c r="H86" s="180"/>
      <c r="K86" s="238"/>
      <c r="L86" s="181"/>
      <c r="M86" s="48"/>
      <c r="N86" s="48"/>
      <c r="O86" s="179"/>
      <c r="P86" s="182"/>
      <c r="R86" s="238"/>
      <c r="S86" s="6"/>
      <c r="T86" s="7"/>
      <c r="U86" s="7"/>
      <c r="V86" s="8"/>
      <c r="W86" s="238"/>
    </row>
    <row r="87" ht="14.25" customHeight="1">
      <c r="C87" s="257" t="s">
        <v>490</v>
      </c>
      <c r="D87" s="258" t="s">
        <v>476</v>
      </c>
      <c r="E87" s="176"/>
      <c r="F87" s="176"/>
      <c r="G87" s="177"/>
      <c r="H87" s="259" t="s">
        <v>81</v>
      </c>
      <c r="I87" s="1" t="s">
        <v>478</v>
      </c>
      <c r="K87" s="227" t="s">
        <v>491</v>
      </c>
      <c r="L87" s="245" t="s">
        <v>438</v>
      </c>
      <c r="M87" s="3"/>
      <c r="N87" s="3"/>
      <c r="O87" s="4"/>
      <c r="P87" s="234" t="s">
        <v>160</v>
      </c>
      <c r="Q87" s="1" t="s">
        <v>485</v>
      </c>
      <c r="X87" s="1" t="s">
        <v>482</v>
      </c>
    </row>
    <row r="88" ht="14.25" customHeight="1">
      <c r="C88" s="235"/>
      <c r="D88" s="181"/>
      <c r="E88" s="48"/>
      <c r="F88" s="48"/>
      <c r="G88" s="179"/>
      <c r="H88" s="182"/>
      <c r="K88" s="235"/>
      <c r="L88" s="47"/>
      <c r="M88" s="48"/>
      <c r="N88" s="48"/>
      <c r="O88" s="179"/>
      <c r="P88" s="180"/>
    </row>
    <row r="89" ht="14.25" customHeight="1">
      <c r="C89" s="235"/>
      <c r="D89" s="260" t="s">
        <v>426</v>
      </c>
      <c r="E89" s="3"/>
      <c r="F89" s="3"/>
      <c r="G89" s="4"/>
      <c r="H89" s="261" t="s">
        <v>14</v>
      </c>
      <c r="K89" s="235"/>
      <c r="L89" s="211" t="s">
        <v>453</v>
      </c>
      <c r="P89" s="212" t="s">
        <v>213</v>
      </c>
    </row>
    <row r="90" ht="14.25" customHeight="1">
      <c r="C90" s="235"/>
      <c r="D90" s="198"/>
      <c r="E90" s="7"/>
      <c r="F90" s="7"/>
      <c r="G90" s="8"/>
      <c r="H90" s="199"/>
      <c r="K90" s="235"/>
    </row>
    <row r="91" ht="14.25" customHeight="1">
      <c r="C91" s="235"/>
      <c r="D91" s="262" t="s">
        <v>440</v>
      </c>
      <c r="E91" s="3"/>
      <c r="F91" s="3"/>
      <c r="G91" s="4"/>
      <c r="H91" s="263" t="s">
        <v>213</v>
      </c>
      <c r="K91" s="235"/>
      <c r="L91" s="211" t="s">
        <v>434</v>
      </c>
      <c r="P91" s="212" t="s">
        <v>160</v>
      </c>
    </row>
    <row r="92" ht="14.25" customHeight="1">
      <c r="C92" s="238"/>
      <c r="D92" s="6"/>
      <c r="E92" s="7"/>
      <c r="F92" s="7"/>
      <c r="G92" s="8"/>
      <c r="H92" s="238"/>
      <c r="K92" s="238"/>
      <c r="L92" s="7"/>
      <c r="M92" s="7"/>
      <c r="N92" s="7"/>
      <c r="O92" s="7"/>
      <c r="P92" s="7"/>
    </row>
    <row r="93" ht="14.25" customHeight="1">
      <c r="C93" s="227" t="s">
        <v>492</v>
      </c>
      <c r="D93" s="225" t="s">
        <v>426</v>
      </c>
      <c r="E93" s="3"/>
      <c r="F93" s="3"/>
      <c r="G93" s="4"/>
      <c r="H93" s="226" t="s">
        <v>14</v>
      </c>
      <c r="I93" s="1" t="s">
        <v>478</v>
      </c>
      <c r="K93" s="264" t="s">
        <v>493</v>
      </c>
      <c r="L93" s="245" t="s">
        <v>436</v>
      </c>
      <c r="M93" s="3"/>
      <c r="N93" s="3"/>
      <c r="O93" s="4"/>
      <c r="P93" s="234" t="s">
        <v>160</v>
      </c>
      <c r="Q93" s="1" t="s">
        <v>485</v>
      </c>
    </row>
    <row r="94" ht="14.25" customHeight="1">
      <c r="C94" s="235"/>
      <c r="D94" s="6"/>
      <c r="E94" s="7"/>
      <c r="F94" s="7"/>
      <c r="G94" s="8"/>
      <c r="H94" s="238"/>
      <c r="K94" s="235"/>
      <c r="L94" s="47"/>
      <c r="M94" s="48"/>
      <c r="N94" s="48"/>
      <c r="O94" s="179"/>
      <c r="P94" s="180"/>
    </row>
    <row r="95" ht="14.25" customHeight="1">
      <c r="C95" s="235"/>
      <c r="D95" s="192" t="s">
        <v>472</v>
      </c>
      <c r="E95" s="176"/>
      <c r="F95" s="176"/>
      <c r="G95" s="176"/>
      <c r="H95" s="193" t="s">
        <v>81</v>
      </c>
      <c r="K95" s="235"/>
      <c r="L95" s="244" t="s">
        <v>473</v>
      </c>
      <c r="M95" s="3"/>
      <c r="N95" s="3"/>
      <c r="O95" s="4"/>
      <c r="P95" s="173" t="s">
        <v>256</v>
      </c>
    </row>
    <row r="96" ht="14.25" customHeight="1">
      <c r="C96" s="235"/>
      <c r="D96" s="190"/>
      <c r="H96" s="30"/>
      <c r="K96" s="235"/>
      <c r="L96" s="47"/>
      <c r="M96" s="48"/>
      <c r="N96" s="48"/>
      <c r="O96" s="179"/>
      <c r="P96" s="180"/>
    </row>
    <row r="97" ht="14.25" customHeight="1">
      <c r="C97" s="235"/>
      <c r="D97" s="265" t="s">
        <v>439</v>
      </c>
      <c r="E97" s="3"/>
      <c r="F97" s="3"/>
      <c r="G97" s="4"/>
      <c r="H97" s="266" t="s">
        <v>160</v>
      </c>
      <c r="K97" s="235"/>
      <c r="L97" s="225" t="s">
        <v>440</v>
      </c>
      <c r="M97" s="3"/>
      <c r="N97" s="3"/>
      <c r="O97" s="4"/>
      <c r="P97" s="226" t="s">
        <v>213</v>
      </c>
    </row>
    <row r="98" ht="14.25" customHeight="1">
      <c r="C98" s="238"/>
      <c r="D98" s="198"/>
      <c r="E98" s="7"/>
      <c r="F98" s="7"/>
      <c r="G98" s="8"/>
      <c r="H98" s="199"/>
      <c r="K98" s="180"/>
      <c r="L98" s="6"/>
      <c r="M98" s="7"/>
      <c r="N98" s="7"/>
      <c r="O98" s="8"/>
      <c r="P98" s="238"/>
    </row>
    <row r="99" ht="14.25" customHeight="1">
      <c r="C99" s="267" t="s">
        <v>494</v>
      </c>
      <c r="D99" s="251" t="s">
        <v>475</v>
      </c>
      <c r="E99" s="176"/>
      <c r="F99" s="176"/>
      <c r="G99" s="177"/>
      <c r="H99" s="178" t="s">
        <v>81</v>
      </c>
      <c r="I99" s="1" t="s">
        <v>478</v>
      </c>
      <c r="K99" s="232" t="s">
        <v>495</v>
      </c>
      <c r="L99" s="251" t="s">
        <v>475</v>
      </c>
      <c r="M99" s="176"/>
      <c r="N99" s="176"/>
      <c r="O99" s="177"/>
      <c r="P99" s="178" t="s">
        <v>81</v>
      </c>
      <c r="Q99" s="1" t="s">
        <v>485</v>
      </c>
      <c r="X99" s="1" t="s">
        <v>482</v>
      </c>
    </row>
    <row r="100" ht="14.25" customHeight="1">
      <c r="C100" s="268"/>
      <c r="D100" s="181"/>
      <c r="E100" s="48"/>
      <c r="F100" s="48"/>
      <c r="G100" s="179"/>
      <c r="H100" s="182"/>
      <c r="K100" s="235"/>
      <c r="L100" s="181"/>
      <c r="M100" s="48"/>
      <c r="N100" s="48"/>
      <c r="O100" s="179"/>
      <c r="P100" s="182"/>
    </row>
    <row r="101" ht="14.25" customHeight="1">
      <c r="C101" s="268"/>
      <c r="D101" s="221" t="s">
        <v>418</v>
      </c>
      <c r="E101" s="3"/>
      <c r="F101" s="3"/>
      <c r="G101" s="4"/>
      <c r="H101" s="216" t="s">
        <v>14</v>
      </c>
      <c r="K101" s="235"/>
      <c r="L101" s="269" t="s">
        <v>461</v>
      </c>
      <c r="M101" s="3"/>
      <c r="N101" s="3"/>
      <c r="O101" s="4"/>
      <c r="P101" s="270" t="s">
        <v>213</v>
      </c>
    </row>
    <row r="102" ht="14.25" customHeight="1">
      <c r="C102" s="268"/>
      <c r="D102" s="198"/>
      <c r="E102" s="7"/>
      <c r="F102" s="7"/>
      <c r="G102" s="8"/>
      <c r="H102" s="199"/>
      <c r="K102" s="235"/>
      <c r="L102" s="198"/>
      <c r="M102" s="7"/>
      <c r="N102" s="7"/>
      <c r="O102" s="8"/>
      <c r="P102" s="199"/>
    </row>
    <row r="103" ht="14.25" customHeight="1">
      <c r="C103" s="268"/>
      <c r="D103" s="237" t="s">
        <v>448</v>
      </c>
      <c r="E103" s="3"/>
      <c r="F103" s="3"/>
      <c r="G103" s="4"/>
      <c r="H103" s="208" t="s">
        <v>256</v>
      </c>
      <c r="K103" s="235"/>
      <c r="L103" s="187" t="s">
        <v>432</v>
      </c>
      <c r="P103" s="188" t="s">
        <v>160</v>
      </c>
    </row>
    <row r="104" ht="14.25" customHeight="1">
      <c r="C104" s="199"/>
      <c r="D104" s="198"/>
      <c r="E104" s="7"/>
      <c r="F104" s="7"/>
      <c r="G104" s="8"/>
      <c r="H104" s="199"/>
      <c r="K104" s="238"/>
      <c r="L104" s="190"/>
      <c r="P104" s="30"/>
    </row>
    <row r="105" ht="14.25" customHeight="1">
      <c r="J105" s="169"/>
      <c r="K105" s="271" t="s">
        <v>496</v>
      </c>
      <c r="L105" s="272" t="s">
        <v>450</v>
      </c>
      <c r="M105" s="176"/>
      <c r="N105" s="176"/>
      <c r="O105" s="177"/>
      <c r="P105" s="273" t="s">
        <v>160</v>
      </c>
      <c r="Q105" s="1" t="s">
        <v>485</v>
      </c>
    </row>
    <row r="106" ht="14.25" customHeight="1">
      <c r="J106" s="169"/>
      <c r="K106" s="235"/>
      <c r="L106" s="181"/>
      <c r="M106" s="48"/>
      <c r="N106" s="48"/>
      <c r="O106" s="179"/>
      <c r="P106" s="182"/>
      <c r="R106" s="267" t="s">
        <v>497</v>
      </c>
      <c r="S106" s="192" t="s">
        <v>412</v>
      </c>
      <c r="T106" s="176"/>
      <c r="U106" s="176"/>
      <c r="V106" s="176"/>
      <c r="W106" s="193" t="s">
        <v>213</v>
      </c>
    </row>
    <row r="107" ht="14.25" customHeight="1">
      <c r="J107" s="169"/>
      <c r="K107" s="235"/>
      <c r="L107" s="274" t="s">
        <v>430</v>
      </c>
      <c r="M107" s="3"/>
      <c r="N107" s="3"/>
      <c r="O107" s="4"/>
      <c r="P107" s="275" t="s">
        <v>160</v>
      </c>
      <c r="R107" s="268"/>
      <c r="S107" s="190"/>
      <c r="W107" s="30"/>
    </row>
    <row r="108" ht="14.25" customHeight="1">
      <c r="J108" s="169"/>
      <c r="K108" s="235"/>
      <c r="L108" s="198"/>
      <c r="M108" s="7"/>
      <c r="N108" s="7"/>
      <c r="O108" s="8"/>
      <c r="P108" s="199"/>
      <c r="R108" s="268"/>
      <c r="S108" s="192" t="s">
        <v>414</v>
      </c>
      <c r="T108" s="176"/>
      <c r="U108" s="176"/>
      <c r="V108" s="176"/>
      <c r="W108" s="186" t="s">
        <v>81</v>
      </c>
    </row>
    <row r="109" ht="14.25" customHeight="1">
      <c r="J109" s="169"/>
      <c r="K109" s="235"/>
      <c r="L109" s="272" t="s">
        <v>455</v>
      </c>
      <c r="M109" s="176"/>
      <c r="N109" s="176"/>
      <c r="O109" s="177"/>
      <c r="P109" s="273" t="s">
        <v>213</v>
      </c>
      <c r="R109" s="268"/>
      <c r="S109" s="190"/>
      <c r="W109" s="182"/>
    </row>
    <row r="110" ht="14.25" customHeight="1">
      <c r="J110" s="169"/>
      <c r="K110" s="238"/>
      <c r="L110" s="181"/>
      <c r="M110" s="48"/>
      <c r="N110" s="48"/>
      <c r="O110" s="179"/>
      <c r="P110" s="182"/>
      <c r="R110" s="268"/>
      <c r="S110" s="256" t="s">
        <v>460</v>
      </c>
      <c r="T110" s="3"/>
      <c r="U110" s="3"/>
      <c r="V110" s="4"/>
      <c r="W110" s="173" t="s">
        <v>256</v>
      </c>
    </row>
    <row r="111" ht="14.25" customHeight="1">
      <c r="R111" s="199"/>
      <c r="S111" s="47"/>
      <c r="T111" s="48"/>
      <c r="U111" s="48"/>
      <c r="V111" s="179"/>
      <c r="W111" s="180"/>
    </row>
    <row r="112" ht="14.25" customHeight="1">
      <c r="C112" s="276" t="s">
        <v>498</v>
      </c>
      <c r="D112" s="254" t="s">
        <v>459</v>
      </c>
      <c r="E112" s="176"/>
      <c r="F112" s="176"/>
      <c r="G112" s="177"/>
      <c r="H112" s="255" t="s">
        <v>213</v>
      </c>
      <c r="K112" s="227" t="s">
        <v>499</v>
      </c>
      <c r="L112" s="230" t="s">
        <v>458</v>
      </c>
      <c r="M112" s="176"/>
      <c r="N112" s="176"/>
      <c r="O112" s="177"/>
      <c r="P112" s="231" t="s">
        <v>213</v>
      </c>
      <c r="R112" s="277" t="s">
        <v>500</v>
      </c>
      <c r="S112" s="251" t="s">
        <v>475</v>
      </c>
      <c r="T112" s="176"/>
      <c r="U112" s="176"/>
      <c r="V112" s="177"/>
      <c r="W112" s="178" t="s">
        <v>81</v>
      </c>
    </row>
    <row r="113" ht="14.25" customHeight="1">
      <c r="C113" s="235"/>
      <c r="D113" s="181"/>
      <c r="E113" s="48"/>
      <c r="F113" s="48"/>
      <c r="G113" s="179"/>
      <c r="H113" s="182"/>
      <c r="K113" s="235"/>
      <c r="L113" s="181"/>
      <c r="M113" s="48"/>
      <c r="N113" s="48"/>
      <c r="O113" s="179"/>
      <c r="P113" s="182"/>
      <c r="R113" s="235"/>
      <c r="S113" s="181"/>
      <c r="T113" s="48"/>
      <c r="U113" s="48"/>
      <c r="V113" s="179"/>
      <c r="W113" s="182"/>
    </row>
    <row r="114" ht="14.25" customHeight="1">
      <c r="C114" s="235"/>
      <c r="D114" s="252" t="s">
        <v>416</v>
      </c>
      <c r="E114" s="3"/>
      <c r="F114" s="3"/>
      <c r="G114" s="4"/>
      <c r="H114" s="253" t="s">
        <v>14</v>
      </c>
      <c r="K114" s="235"/>
      <c r="L114" s="251" t="s">
        <v>411</v>
      </c>
      <c r="M114" s="176"/>
      <c r="N114" s="176"/>
      <c r="O114" s="177"/>
      <c r="P114" s="178" t="s">
        <v>42</v>
      </c>
      <c r="R114" s="235"/>
      <c r="S114" s="246" t="s">
        <v>457</v>
      </c>
      <c r="T114" s="3"/>
      <c r="U114" s="3"/>
      <c r="V114" s="4"/>
      <c r="W114" s="208" t="s">
        <v>256</v>
      </c>
    </row>
    <row r="115" ht="14.25" customHeight="1">
      <c r="C115" s="235"/>
      <c r="D115" s="6"/>
      <c r="E115" s="7"/>
      <c r="F115" s="7"/>
      <c r="G115" s="8"/>
      <c r="H115" s="238"/>
      <c r="K115" s="235"/>
      <c r="L115" s="181"/>
      <c r="M115" s="48"/>
      <c r="N115" s="48"/>
      <c r="O115" s="179"/>
      <c r="P115" s="182"/>
      <c r="R115" s="235"/>
      <c r="S115" s="198"/>
      <c r="T115" s="7"/>
      <c r="U115" s="7"/>
      <c r="V115" s="8"/>
      <c r="W115" s="199"/>
    </row>
    <row r="116" ht="14.25" customHeight="1">
      <c r="C116" s="235"/>
      <c r="D116" s="278" t="s">
        <v>408</v>
      </c>
      <c r="E116" s="176"/>
      <c r="F116" s="176"/>
      <c r="G116" s="177"/>
      <c r="H116" s="255" t="s">
        <v>42</v>
      </c>
      <c r="K116" s="235"/>
      <c r="L116" s="225" t="s">
        <v>419</v>
      </c>
      <c r="M116" s="3"/>
      <c r="N116" s="3"/>
      <c r="O116" s="4"/>
      <c r="P116" s="226" t="s">
        <v>14</v>
      </c>
      <c r="R116" s="235"/>
      <c r="S116" s="225" t="s">
        <v>439</v>
      </c>
      <c r="T116" s="3"/>
      <c r="U116" s="3"/>
      <c r="V116" s="4"/>
      <c r="W116" s="226" t="s">
        <v>160</v>
      </c>
    </row>
    <row r="117" ht="14.25" customHeight="1">
      <c r="C117" s="238"/>
      <c r="D117" s="181"/>
      <c r="E117" s="48"/>
      <c r="F117" s="48"/>
      <c r="G117" s="179"/>
      <c r="H117" s="182"/>
      <c r="K117" s="238"/>
      <c r="L117" s="6"/>
      <c r="M117" s="7"/>
      <c r="N117" s="7"/>
      <c r="O117" s="8"/>
      <c r="P117" s="238"/>
      <c r="R117" s="238"/>
      <c r="S117" s="47"/>
      <c r="T117" s="48"/>
      <c r="U117" s="48"/>
      <c r="V117" s="179"/>
      <c r="W117" s="180"/>
      <c r="X117" s="1" t="s">
        <v>482</v>
      </c>
    </row>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41">
    <mergeCell ref="L91:O92"/>
    <mergeCell ref="L93:O94"/>
    <mergeCell ref="P93:P94"/>
    <mergeCell ref="L85:O86"/>
    <mergeCell ref="P85:P86"/>
    <mergeCell ref="L87:O88"/>
    <mergeCell ref="P87:P88"/>
    <mergeCell ref="L89:O90"/>
    <mergeCell ref="P89:P90"/>
    <mergeCell ref="P91:P92"/>
    <mergeCell ref="R33:R34"/>
    <mergeCell ref="N35:Q36"/>
    <mergeCell ref="R35:R36"/>
    <mergeCell ref="N23:Q24"/>
    <mergeCell ref="N25:Q26"/>
    <mergeCell ref="R25:R26"/>
    <mergeCell ref="M29:M40"/>
    <mergeCell ref="N29:Q30"/>
    <mergeCell ref="R29:R30"/>
    <mergeCell ref="R31:R32"/>
    <mergeCell ref="N59:Q60"/>
    <mergeCell ref="R59:R60"/>
    <mergeCell ref="N61:Q62"/>
    <mergeCell ref="R61:R62"/>
    <mergeCell ref="M53:M64"/>
    <mergeCell ref="N53:Q54"/>
    <mergeCell ref="R53:R54"/>
    <mergeCell ref="N55:Q56"/>
    <mergeCell ref="R55:R56"/>
    <mergeCell ref="N57:Q58"/>
    <mergeCell ref="R57:R58"/>
    <mergeCell ref="L73:O74"/>
    <mergeCell ref="P73:P74"/>
    <mergeCell ref="L75:O76"/>
    <mergeCell ref="P75:P76"/>
    <mergeCell ref="R75:R80"/>
    <mergeCell ref="L77:O78"/>
    <mergeCell ref="P77:P78"/>
    <mergeCell ref="L79:O80"/>
    <mergeCell ref="P79:P80"/>
    <mergeCell ref="L81:O82"/>
    <mergeCell ref="P81:P82"/>
    <mergeCell ref="R81:R86"/>
    <mergeCell ref="L83:O84"/>
    <mergeCell ref="P83:P84"/>
    <mergeCell ref="D29:G30"/>
    <mergeCell ref="H29:H30"/>
    <mergeCell ref="D31:G32"/>
    <mergeCell ref="H31:H32"/>
    <mergeCell ref="I31:I32"/>
    <mergeCell ref="D33:G34"/>
    <mergeCell ref="H33:H34"/>
    <mergeCell ref="D47:G48"/>
    <mergeCell ref="H47:H48"/>
    <mergeCell ref="D49:G50"/>
    <mergeCell ref="H49:H50"/>
    <mergeCell ref="H53:H54"/>
    <mergeCell ref="D55:G56"/>
    <mergeCell ref="H55:H56"/>
    <mergeCell ref="D57:G58"/>
    <mergeCell ref="H57:H58"/>
    <mergeCell ref="D59:G60"/>
    <mergeCell ref="H59:H60"/>
    <mergeCell ref="D61:G62"/>
    <mergeCell ref="H61:H62"/>
    <mergeCell ref="D45:G46"/>
    <mergeCell ref="D53:G54"/>
    <mergeCell ref="D35:G36"/>
    <mergeCell ref="H35:H36"/>
    <mergeCell ref="C41:C52"/>
    <mergeCell ref="D41:G42"/>
    <mergeCell ref="H41:H42"/>
    <mergeCell ref="H45:H46"/>
    <mergeCell ref="C53:C64"/>
    <mergeCell ref="C69:C74"/>
    <mergeCell ref="C75:C80"/>
    <mergeCell ref="C81:C86"/>
    <mergeCell ref="C87:C92"/>
    <mergeCell ref="C93:C98"/>
    <mergeCell ref="C99:C104"/>
    <mergeCell ref="C112:C117"/>
    <mergeCell ref="D69:G70"/>
    <mergeCell ref="H69:H70"/>
    <mergeCell ref="K69:K74"/>
    <mergeCell ref="D71:G72"/>
    <mergeCell ref="H71:H72"/>
    <mergeCell ref="D73:G74"/>
    <mergeCell ref="H73:H74"/>
    <mergeCell ref="D75:G76"/>
    <mergeCell ref="H75:H76"/>
    <mergeCell ref="K75:K80"/>
    <mergeCell ref="D77:G78"/>
    <mergeCell ref="H77:H78"/>
    <mergeCell ref="D79:G80"/>
    <mergeCell ref="H79:H80"/>
    <mergeCell ref="D81:G82"/>
    <mergeCell ref="H81:H82"/>
    <mergeCell ref="K81:K86"/>
    <mergeCell ref="D83:G84"/>
    <mergeCell ref="H83:H84"/>
    <mergeCell ref="D85:G86"/>
    <mergeCell ref="H85:H86"/>
    <mergeCell ref="K112:K117"/>
    <mergeCell ref="D114:G115"/>
    <mergeCell ref="H114:H115"/>
    <mergeCell ref="D116:G117"/>
    <mergeCell ref="H116:H117"/>
    <mergeCell ref="D7:G8"/>
    <mergeCell ref="H7:H8"/>
    <mergeCell ref="N7:Q8"/>
    <mergeCell ref="R7:R8"/>
    <mergeCell ref="D9:G10"/>
    <mergeCell ref="H9:H10"/>
    <mergeCell ref="N9:Q10"/>
    <mergeCell ref="R9:R10"/>
    <mergeCell ref="D11:G12"/>
    <mergeCell ref="H11:H12"/>
    <mergeCell ref="N11:Q12"/>
    <mergeCell ref="R11:R12"/>
    <mergeCell ref="D13:G14"/>
    <mergeCell ref="H13:H14"/>
    <mergeCell ref="H23:H24"/>
    <mergeCell ref="D25:G26"/>
    <mergeCell ref="H25:H26"/>
    <mergeCell ref="D17:G18"/>
    <mergeCell ref="H17:H18"/>
    <mergeCell ref="M17:M28"/>
    <mergeCell ref="D19:G20"/>
    <mergeCell ref="H19:H20"/>
    <mergeCell ref="I19:I20"/>
    <mergeCell ref="H21:H22"/>
    <mergeCell ref="I13:I14"/>
    <mergeCell ref="N13:Q14"/>
    <mergeCell ref="C5:C16"/>
    <mergeCell ref="C17:C28"/>
    <mergeCell ref="C29:C40"/>
    <mergeCell ref="D5:G6"/>
    <mergeCell ref="H5:H6"/>
    <mergeCell ref="I5:I6"/>
    <mergeCell ref="M5:M16"/>
    <mergeCell ref="N5:Q6"/>
    <mergeCell ref="R5:R6"/>
    <mergeCell ref="R13:R14"/>
    <mergeCell ref="D21:G22"/>
    <mergeCell ref="D23:G24"/>
    <mergeCell ref="D37:G38"/>
    <mergeCell ref="H37:H38"/>
    <mergeCell ref="N17:Q18"/>
    <mergeCell ref="R17:R18"/>
    <mergeCell ref="N19:Q20"/>
    <mergeCell ref="R19:R20"/>
    <mergeCell ref="N21:Q22"/>
    <mergeCell ref="R21:R22"/>
    <mergeCell ref="R23:R24"/>
    <mergeCell ref="N31:Q32"/>
    <mergeCell ref="N33:Q34"/>
    <mergeCell ref="N37:Q38"/>
    <mergeCell ref="R37:R38"/>
    <mergeCell ref="S73:V74"/>
    <mergeCell ref="W73:W74"/>
    <mergeCell ref="L69:O70"/>
    <mergeCell ref="P69:P70"/>
    <mergeCell ref="R69:R74"/>
    <mergeCell ref="S69:V70"/>
    <mergeCell ref="W69:W70"/>
    <mergeCell ref="L71:O72"/>
    <mergeCell ref="P71:P72"/>
    <mergeCell ref="D87:G88"/>
    <mergeCell ref="H87:H88"/>
    <mergeCell ref="K87:K92"/>
    <mergeCell ref="D89:G90"/>
    <mergeCell ref="H89:H90"/>
    <mergeCell ref="D91:G92"/>
    <mergeCell ref="H91:H92"/>
    <mergeCell ref="D93:G94"/>
    <mergeCell ref="H93:H94"/>
    <mergeCell ref="K93:K98"/>
    <mergeCell ref="D95:G96"/>
    <mergeCell ref="H95:H96"/>
    <mergeCell ref="D97:G98"/>
    <mergeCell ref="H97:H98"/>
    <mergeCell ref="D103:G104"/>
    <mergeCell ref="D112:G113"/>
    <mergeCell ref="H112:H113"/>
    <mergeCell ref="D99:G100"/>
    <mergeCell ref="H99:H100"/>
    <mergeCell ref="K99:K104"/>
    <mergeCell ref="D101:G102"/>
    <mergeCell ref="H101:H102"/>
    <mergeCell ref="H103:H104"/>
    <mergeCell ref="K105:K110"/>
    <mergeCell ref="L105:O106"/>
    <mergeCell ref="L107:O108"/>
    <mergeCell ref="P107:P108"/>
    <mergeCell ref="L109:O110"/>
    <mergeCell ref="P109:P110"/>
    <mergeCell ref="L112:O113"/>
    <mergeCell ref="P112:P113"/>
    <mergeCell ref="L114:O115"/>
    <mergeCell ref="P114:P115"/>
    <mergeCell ref="S71:V72"/>
    <mergeCell ref="W71:W72"/>
    <mergeCell ref="S75:V76"/>
    <mergeCell ref="W75:W76"/>
    <mergeCell ref="S77:V78"/>
    <mergeCell ref="W77:W78"/>
    <mergeCell ref="W79:W80"/>
    <mergeCell ref="S79:V80"/>
    <mergeCell ref="S81:V82"/>
    <mergeCell ref="W81:W82"/>
    <mergeCell ref="S83:V84"/>
    <mergeCell ref="W83:W84"/>
    <mergeCell ref="S85:V86"/>
    <mergeCell ref="W85:W86"/>
    <mergeCell ref="L95:O96"/>
    <mergeCell ref="P95:P96"/>
    <mergeCell ref="L97:O98"/>
    <mergeCell ref="P97:P98"/>
    <mergeCell ref="L99:O100"/>
    <mergeCell ref="P99:P100"/>
    <mergeCell ref="P101:P102"/>
    <mergeCell ref="S106:V107"/>
    <mergeCell ref="S108:V109"/>
    <mergeCell ref="L101:O102"/>
    <mergeCell ref="L103:O104"/>
    <mergeCell ref="P103:P104"/>
    <mergeCell ref="P105:P106"/>
    <mergeCell ref="R106:R111"/>
    <mergeCell ref="W106:W107"/>
    <mergeCell ref="W108:W109"/>
    <mergeCell ref="L116:O117"/>
    <mergeCell ref="P116:P117"/>
    <mergeCell ref="S116:V117"/>
    <mergeCell ref="W116:W117"/>
    <mergeCell ref="S110:V111"/>
    <mergeCell ref="W110:W111"/>
    <mergeCell ref="R112:R117"/>
    <mergeCell ref="S112:V113"/>
    <mergeCell ref="W112:W113"/>
    <mergeCell ref="S114:V115"/>
    <mergeCell ref="W114:W115"/>
  </mergeCells>
  <conditionalFormatting sqref="H5:H8 H17:H18 H33:H34 H41:H42 H73:H78 H81:H82 H89:H92 H112:H115 I19:I20 I31:I32 P71:P72 P75:P80 P95:P96 P105:P106 P112:P113 P116:P117 R21:R22 W81:W86 W112:W117">
    <cfRule type="containsText" dxfId="8" priority="1" operator="containsText" text="CAR">
      <formula>NOT(ISERROR(SEARCH(("CAR"),(H5))))</formula>
    </cfRule>
  </conditionalFormatting>
  <conditionalFormatting sqref="H5:H8 H17:H18 H33:H34 H41:H42 H73:H78 H81:H82 H89:H92 H112:H115 I19:I20 I31:I32 P71:P72 P75:P80 P95:P96 P105:P106 P112:P113 P116:P117 R21:R22 W81:W86 W112:W117">
    <cfRule type="containsText" dxfId="1" priority="2" operator="containsText" text="AGI">
      <formula>NOT(ISERROR(SEARCH(("AGI"),(H5))))</formula>
    </cfRule>
  </conditionalFormatting>
  <conditionalFormatting sqref="H5:H8 H17:H18 H33:H34 H41:H42 H73:H78 H81:H82 H89:H92 H112:H115 I19:I20 I31:I32 P71:P72 P75:P80 P95:P96 P105:P106 P112:P113 P116:P117 R21:R22 W81:W86 W112:W117">
    <cfRule type="containsText" dxfId="2" priority="3" operator="containsText" text="PER">
      <formula>NOT(ISERROR(SEARCH(("PER"),(H5))))</formula>
    </cfRule>
  </conditionalFormatting>
  <conditionalFormatting sqref="H5:H8 H17:H18 H33:H34 H41:H42 H73:H78 H81:H82 H89:H92 H112:H115 I19:I20 I31:I32 P71:P72 P75:P80 P95:P96 P105:P106 P112:P113 P116:P117 R21:R22 W81:W86 W112:W117">
    <cfRule type="containsText" dxfId="3" priority="4" operator="containsText" text="WIL">
      <formula>NOT(ISERROR(SEARCH(("WIL"),(H5))))</formula>
    </cfRule>
  </conditionalFormatting>
  <conditionalFormatting sqref="H5:H8 H17:H18 H33:H34 H41:H42 H73:H78 H81:H82 H89:H92 H112:H115 I19:I20 I31:I32 P71:P72 P75:P80 P95:P96 P105:P106 P112:P113 P116:P117 R21:R22 W81:W86 W112:W117">
    <cfRule type="containsText" dxfId="4" priority="5" operator="containsText" text="INT">
      <formula>NOT(ISERROR(SEARCH(("INT"),(H5))))</formula>
    </cfRule>
  </conditionalFormatting>
  <conditionalFormatting sqref="H5:H8 H17:H18 H33:H34 H41:H42 H73:H78 H81:H82 H89:H92 H112:H115 I19:I20 I31:I32 P71:P72 P75:P80 P95:P96 P105:P106 P112:P113 P116:P117 R21:R22 W81:W86 W112:W117">
    <cfRule type="containsText" dxfId="5" priority="6" operator="containsText" text="STR">
      <formula>NOT(ISERROR(SEARCH(("STR"),(H5))))</formula>
    </cfRule>
  </conditionalFormatting>
  <conditionalFormatting sqref="H25:H26">
    <cfRule type="containsText" dxfId="8" priority="7" operator="containsText" text="CAR">
      <formula>NOT(ISERROR(SEARCH(("CAR"),(H25))))</formula>
    </cfRule>
  </conditionalFormatting>
  <conditionalFormatting sqref="H25:H26">
    <cfRule type="containsText" dxfId="1" priority="8" operator="containsText" text="AGI">
      <formula>NOT(ISERROR(SEARCH(("AGI"),(H25))))</formula>
    </cfRule>
  </conditionalFormatting>
  <conditionalFormatting sqref="H25:H26">
    <cfRule type="containsText" dxfId="2" priority="9" operator="containsText" text="PER">
      <formula>NOT(ISERROR(SEARCH(("PER"),(H25))))</formula>
    </cfRule>
  </conditionalFormatting>
  <conditionalFormatting sqref="H25:H26">
    <cfRule type="containsText" dxfId="3" priority="10" operator="containsText" text="WIL">
      <formula>NOT(ISERROR(SEARCH(("WIL"),(H25))))</formula>
    </cfRule>
  </conditionalFormatting>
  <conditionalFormatting sqref="H25:H26">
    <cfRule type="containsText" dxfId="4" priority="11" operator="containsText" text="INT">
      <formula>NOT(ISERROR(SEARCH(("INT"),(H25))))</formula>
    </cfRule>
  </conditionalFormatting>
  <conditionalFormatting sqref="H25:H26">
    <cfRule type="containsText" dxfId="5" priority="12" operator="containsText" text="STR">
      <formula>NOT(ISERROR(SEARCH(("STR"),(H25))))</formula>
    </cfRule>
  </conditionalFormatting>
  <conditionalFormatting sqref="W69:W70">
    <cfRule type="containsText" dxfId="8" priority="13" operator="containsText" text="CAR">
      <formula>NOT(ISERROR(SEARCH(("CAR"),(W69))))</formula>
    </cfRule>
  </conditionalFormatting>
  <conditionalFormatting sqref="W69:W70">
    <cfRule type="containsText" dxfId="1" priority="14" operator="containsText" text="AGI">
      <formula>NOT(ISERROR(SEARCH(("AGI"),(W69))))</formula>
    </cfRule>
  </conditionalFormatting>
  <conditionalFormatting sqref="W69:W70">
    <cfRule type="containsText" dxfId="2" priority="15" operator="containsText" text="PER">
      <formula>NOT(ISERROR(SEARCH(("PER"),(W69))))</formula>
    </cfRule>
  </conditionalFormatting>
  <conditionalFormatting sqref="W69:W70">
    <cfRule type="containsText" dxfId="3" priority="16" operator="containsText" text="WIL">
      <formula>NOT(ISERROR(SEARCH(("WIL"),(W69))))</formula>
    </cfRule>
  </conditionalFormatting>
  <conditionalFormatting sqref="W69:W70">
    <cfRule type="containsText" dxfId="4" priority="17" operator="containsText" text="INT">
      <formula>NOT(ISERROR(SEARCH(("INT"),(W69))))</formula>
    </cfRule>
  </conditionalFormatting>
  <conditionalFormatting sqref="W69:W70">
    <cfRule type="containsText" dxfId="5" priority="18" operator="containsText" text="STR">
      <formula>NOT(ISERROR(SEARCH(("STR"),(W69))))</formula>
    </cfRule>
  </conditionalFormatting>
  <conditionalFormatting sqref="H116:H117">
    <cfRule type="containsText" dxfId="8" priority="19" operator="containsText" text="CAR">
      <formula>NOT(ISERROR(SEARCH(("CAR"),(H116))))</formula>
    </cfRule>
  </conditionalFormatting>
  <conditionalFormatting sqref="H116:H117">
    <cfRule type="containsText" dxfId="1" priority="20" operator="containsText" text="AGI">
      <formula>NOT(ISERROR(SEARCH(("AGI"),(H116))))</formula>
    </cfRule>
  </conditionalFormatting>
  <conditionalFormatting sqref="H116:H117">
    <cfRule type="containsText" dxfId="2" priority="21" operator="containsText" text="PER">
      <formula>NOT(ISERROR(SEARCH(("PER"),(H116))))</formula>
    </cfRule>
  </conditionalFormatting>
  <conditionalFormatting sqref="H116:H117">
    <cfRule type="containsText" dxfId="3" priority="22" operator="containsText" text="WIL">
      <formula>NOT(ISERROR(SEARCH(("WIL"),(H116))))</formula>
    </cfRule>
  </conditionalFormatting>
  <conditionalFormatting sqref="H116:H117">
    <cfRule type="containsText" dxfId="4" priority="23" operator="containsText" text="INT">
      <formula>NOT(ISERROR(SEARCH(("INT"),(H116))))</formula>
    </cfRule>
  </conditionalFormatting>
  <conditionalFormatting sqref="H116:H117">
    <cfRule type="containsText" dxfId="5" priority="24" operator="containsText" text="STR">
      <formula>NOT(ISERROR(SEARCH(("STR"),(H116))))</formula>
    </cfRule>
  </conditionalFormatting>
  <conditionalFormatting sqref="I5:I6">
    <cfRule type="containsText" dxfId="8" priority="25" operator="containsText" text="CAR">
      <formula>NOT(ISERROR(SEARCH(("CAR"),(I5))))</formula>
    </cfRule>
  </conditionalFormatting>
  <conditionalFormatting sqref="I5:I6">
    <cfRule type="containsText" dxfId="1" priority="26" operator="containsText" text="AGI">
      <formula>NOT(ISERROR(SEARCH(("AGI"),(I5))))</formula>
    </cfRule>
  </conditionalFormatting>
  <conditionalFormatting sqref="I5:I6">
    <cfRule type="containsText" dxfId="2" priority="27" operator="containsText" text="PER">
      <formula>NOT(ISERROR(SEARCH(("PER"),(I5))))</formula>
    </cfRule>
  </conditionalFormatting>
  <conditionalFormatting sqref="I5:I6">
    <cfRule type="containsText" dxfId="3" priority="28" operator="containsText" text="WIL">
      <formula>NOT(ISERROR(SEARCH(("WIL"),(I5))))</formula>
    </cfRule>
  </conditionalFormatting>
  <conditionalFormatting sqref="I5:I6">
    <cfRule type="containsText" dxfId="4" priority="29" operator="containsText" text="INT">
      <formula>NOT(ISERROR(SEARCH(("INT"),(I5))))</formula>
    </cfRule>
  </conditionalFormatting>
  <conditionalFormatting sqref="I5:I6">
    <cfRule type="containsText" dxfId="5" priority="30" operator="containsText" text="STR">
      <formula>NOT(ISERROR(SEARCH(("STR"),(I5))))</formula>
    </cfRule>
  </conditionalFormatting>
  <conditionalFormatting sqref="H9:H10">
    <cfRule type="containsText" dxfId="8" priority="31" operator="containsText" text="CAR">
      <formula>NOT(ISERROR(SEARCH(("CAR"),(H9))))</formula>
    </cfRule>
  </conditionalFormatting>
  <conditionalFormatting sqref="H9:H10">
    <cfRule type="containsText" dxfId="1" priority="32" operator="containsText" text="AGI">
      <formula>NOT(ISERROR(SEARCH(("AGI"),(H9))))</formula>
    </cfRule>
  </conditionalFormatting>
  <conditionalFormatting sqref="H9:H10">
    <cfRule type="containsText" dxfId="2" priority="33" operator="containsText" text="PER">
      <formula>NOT(ISERROR(SEARCH(("PER"),(H9))))</formula>
    </cfRule>
  </conditionalFormatting>
  <conditionalFormatting sqref="H9:H10">
    <cfRule type="containsText" dxfId="3" priority="34" operator="containsText" text="WIL">
      <formula>NOT(ISERROR(SEARCH(("WIL"),(H9))))</formula>
    </cfRule>
  </conditionalFormatting>
  <conditionalFormatting sqref="H9:H10">
    <cfRule type="containsText" dxfId="4" priority="35" operator="containsText" text="INT">
      <formula>NOT(ISERROR(SEARCH(("INT"),(H9))))</formula>
    </cfRule>
  </conditionalFormatting>
  <conditionalFormatting sqref="H9:H10">
    <cfRule type="containsText" dxfId="5" priority="36" operator="containsText" text="STR">
      <formula>NOT(ISERROR(SEARCH(("STR"),(H9))))</formula>
    </cfRule>
  </conditionalFormatting>
  <conditionalFormatting sqref="H13:H14">
    <cfRule type="containsText" dxfId="8" priority="37" operator="containsText" text="CAR">
      <formula>NOT(ISERROR(SEARCH(("CAR"),(H13))))</formula>
    </cfRule>
  </conditionalFormatting>
  <conditionalFormatting sqref="H13:H14">
    <cfRule type="containsText" dxfId="1" priority="38" operator="containsText" text="AGI">
      <formula>NOT(ISERROR(SEARCH(("AGI"),(H13))))</formula>
    </cfRule>
  </conditionalFormatting>
  <conditionalFormatting sqref="H13:H14">
    <cfRule type="containsText" dxfId="2" priority="39" operator="containsText" text="PER">
      <formula>NOT(ISERROR(SEARCH(("PER"),(H13))))</formula>
    </cfRule>
  </conditionalFormatting>
  <conditionalFormatting sqref="H13:H14">
    <cfRule type="containsText" dxfId="3" priority="40" operator="containsText" text="WIL">
      <formula>NOT(ISERROR(SEARCH(("WIL"),(H13))))</formula>
    </cfRule>
  </conditionalFormatting>
  <conditionalFormatting sqref="H13:H14">
    <cfRule type="containsText" dxfId="4" priority="41" operator="containsText" text="INT">
      <formula>NOT(ISERROR(SEARCH(("INT"),(H13))))</formula>
    </cfRule>
  </conditionalFormatting>
  <conditionalFormatting sqref="H13:H14">
    <cfRule type="containsText" dxfId="5" priority="42" operator="containsText" text="STR">
      <formula>NOT(ISERROR(SEARCH(("STR"),(H13))))</formula>
    </cfRule>
  </conditionalFormatting>
  <conditionalFormatting sqref="W108:W109">
    <cfRule type="containsText" dxfId="8" priority="43" operator="containsText" text="CAR">
      <formula>NOT(ISERROR(SEARCH(("CAR"),(W108))))</formula>
    </cfRule>
  </conditionalFormatting>
  <conditionalFormatting sqref="W108:W109">
    <cfRule type="containsText" dxfId="1" priority="44" operator="containsText" text="AGI">
      <formula>NOT(ISERROR(SEARCH(("AGI"),(W108))))</formula>
    </cfRule>
  </conditionalFormatting>
  <conditionalFormatting sqref="W108:W109">
    <cfRule type="containsText" dxfId="2" priority="45" operator="containsText" text="PER">
      <formula>NOT(ISERROR(SEARCH(("PER"),(W108))))</formula>
    </cfRule>
  </conditionalFormatting>
  <conditionalFormatting sqref="W108:W109">
    <cfRule type="containsText" dxfId="3" priority="46" operator="containsText" text="WIL">
      <formula>NOT(ISERROR(SEARCH(("WIL"),(W108))))</formula>
    </cfRule>
  </conditionalFormatting>
  <conditionalFormatting sqref="W108:W109">
    <cfRule type="containsText" dxfId="4" priority="47" operator="containsText" text="INT">
      <formula>NOT(ISERROR(SEARCH(("INT"),(W108))))</formula>
    </cfRule>
  </conditionalFormatting>
  <conditionalFormatting sqref="W108:W109">
    <cfRule type="containsText" dxfId="5" priority="48" operator="containsText" text="STR">
      <formula>NOT(ISERROR(SEARCH(("STR"),(W108))))</formula>
    </cfRule>
  </conditionalFormatting>
  <conditionalFormatting sqref="H35:H36">
    <cfRule type="containsText" dxfId="8" priority="49" operator="containsText" text="CAR">
      <formula>NOT(ISERROR(SEARCH(("CAR"),(H35))))</formula>
    </cfRule>
  </conditionalFormatting>
  <conditionalFormatting sqref="H35:H36">
    <cfRule type="containsText" dxfId="1" priority="50" operator="containsText" text="AGI">
      <formula>NOT(ISERROR(SEARCH(("AGI"),(H35))))</formula>
    </cfRule>
  </conditionalFormatting>
  <conditionalFormatting sqref="H35:H36">
    <cfRule type="containsText" dxfId="2" priority="51" operator="containsText" text="PER">
      <formula>NOT(ISERROR(SEARCH(("PER"),(H35))))</formula>
    </cfRule>
  </conditionalFormatting>
  <conditionalFormatting sqref="H35:H36">
    <cfRule type="containsText" dxfId="3" priority="52" operator="containsText" text="WIL">
      <formula>NOT(ISERROR(SEARCH(("WIL"),(H35))))</formula>
    </cfRule>
  </conditionalFormatting>
  <conditionalFormatting sqref="H35:H36">
    <cfRule type="containsText" dxfId="4" priority="53" operator="containsText" text="INT">
      <formula>NOT(ISERROR(SEARCH(("INT"),(H35))))</formula>
    </cfRule>
  </conditionalFormatting>
  <conditionalFormatting sqref="H35:H36">
    <cfRule type="containsText" dxfId="5" priority="54" operator="containsText" text="STR">
      <formula>NOT(ISERROR(SEARCH(("STR"),(H35))))</formula>
    </cfRule>
  </conditionalFormatting>
  <conditionalFormatting sqref="H31:H32">
    <cfRule type="containsText" dxfId="8" priority="55" operator="containsText" text="CAR">
      <formula>NOT(ISERROR(SEARCH(("CAR"),(H31))))</formula>
    </cfRule>
  </conditionalFormatting>
  <conditionalFormatting sqref="H31:H32">
    <cfRule type="containsText" dxfId="1" priority="56" operator="containsText" text="AGI">
      <formula>NOT(ISERROR(SEARCH(("AGI"),(H31))))</formula>
    </cfRule>
  </conditionalFormatting>
  <conditionalFormatting sqref="H31:H32">
    <cfRule type="containsText" dxfId="2" priority="57" operator="containsText" text="PER">
      <formula>NOT(ISERROR(SEARCH(("PER"),(H31))))</formula>
    </cfRule>
  </conditionalFormatting>
  <conditionalFormatting sqref="H31:H32">
    <cfRule type="containsText" dxfId="3" priority="58" operator="containsText" text="WIL">
      <formula>NOT(ISERROR(SEARCH(("WIL"),(H31))))</formula>
    </cfRule>
  </conditionalFormatting>
  <conditionalFormatting sqref="H31:H32">
    <cfRule type="containsText" dxfId="4" priority="59" operator="containsText" text="INT">
      <formula>NOT(ISERROR(SEARCH(("INT"),(H31))))</formula>
    </cfRule>
  </conditionalFormatting>
  <conditionalFormatting sqref="H31:H32">
    <cfRule type="containsText" dxfId="5" priority="60" operator="containsText" text="STR">
      <formula>NOT(ISERROR(SEARCH(("STR"),(H31))))</formula>
    </cfRule>
  </conditionalFormatting>
  <conditionalFormatting sqref="H37:H38">
    <cfRule type="containsText" dxfId="8" priority="61" operator="containsText" text="CAR">
      <formula>NOT(ISERROR(SEARCH(("CAR"),(H37))))</formula>
    </cfRule>
  </conditionalFormatting>
  <conditionalFormatting sqref="H37:H38">
    <cfRule type="containsText" dxfId="1" priority="62" operator="containsText" text="AGI">
      <formula>NOT(ISERROR(SEARCH(("AGI"),(H37))))</formula>
    </cfRule>
  </conditionalFormatting>
  <conditionalFormatting sqref="H37:H38">
    <cfRule type="containsText" dxfId="2" priority="63" operator="containsText" text="PER">
      <formula>NOT(ISERROR(SEARCH(("PER"),(H37))))</formula>
    </cfRule>
  </conditionalFormatting>
  <conditionalFormatting sqref="H37:H38">
    <cfRule type="containsText" dxfId="3" priority="64" operator="containsText" text="WIL">
      <formula>NOT(ISERROR(SEARCH(("WIL"),(H37))))</formula>
    </cfRule>
  </conditionalFormatting>
  <conditionalFormatting sqref="H37:H38">
    <cfRule type="containsText" dxfId="4" priority="65" operator="containsText" text="INT">
      <formula>NOT(ISERROR(SEARCH(("INT"),(H37))))</formula>
    </cfRule>
  </conditionalFormatting>
  <conditionalFormatting sqref="H37:H38">
    <cfRule type="containsText" dxfId="5" priority="66" operator="containsText" text="STR">
      <formula>NOT(ISERROR(SEARCH(("STR"),(H37))))</formula>
    </cfRule>
  </conditionalFormatting>
  <conditionalFormatting sqref="H29:H30">
    <cfRule type="containsText" dxfId="8" priority="67" operator="containsText" text="CAR">
      <formula>NOT(ISERROR(SEARCH(("CAR"),(H29))))</formula>
    </cfRule>
  </conditionalFormatting>
  <conditionalFormatting sqref="H29:H30">
    <cfRule type="containsText" dxfId="1" priority="68" operator="containsText" text="AGI">
      <formula>NOT(ISERROR(SEARCH(("AGI"),(H29))))</formula>
    </cfRule>
  </conditionalFormatting>
  <conditionalFormatting sqref="H29:H30">
    <cfRule type="containsText" dxfId="2" priority="69" operator="containsText" text="PER">
      <formula>NOT(ISERROR(SEARCH(("PER"),(H29))))</formula>
    </cfRule>
  </conditionalFormatting>
  <conditionalFormatting sqref="H29:H30">
    <cfRule type="containsText" dxfId="3" priority="70" operator="containsText" text="WIL">
      <formula>NOT(ISERROR(SEARCH(("WIL"),(H29))))</formula>
    </cfRule>
  </conditionalFormatting>
  <conditionalFormatting sqref="H29:H30">
    <cfRule type="containsText" dxfId="4" priority="71" operator="containsText" text="INT">
      <formula>NOT(ISERROR(SEARCH(("INT"),(H29))))</formula>
    </cfRule>
  </conditionalFormatting>
  <conditionalFormatting sqref="H29:H30">
    <cfRule type="containsText" dxfId="5" priority="72" operator="containsText" text="STR">
      <formula>NOT(ISERROR(SEARCH(("STR"),(H29))))</formula>
    </cfRule>
  </conditionalFormatting>
  <conditionalFormatting sqref="H53:H54">
    <cfRule type="containsText" dxfId="8" priority="73" operator="containsText" text="CAR">
      <formula>NOT(ISERROR(SEARCH(("CAR"),(H53))))</formula>
    </cfRule>
  </conditionalFormatting>
  <conditionalFormatting sqref="H53:H54">
    <cfRule type="containsText" dxfId="1" priority="74" operator="containsText" text="AGI">
      <formula>NOT(ISERROR(SEARCH(("AGI"),(H53))))</formula>
    </cfRule>
  </conditionalFormatting>
  <conditionalFormatting sqref="H53:H54">
    <cfRule type="containsText" dxfId="2" priority="75" operator="containsText" text="PER">
      <formula>NOT(ISERROR(SEARCH(("PER"),(H53))))</formula>
    </cfRule>
  </conditionalFormatting>
  <conditionalFormatting sqref="H53:H54">
    <cfRule type="containsText" dxfId="3" priority="76" operator="containsText" text="WIL">
      <formula>NOT(ISERROR(SEARCH(("WIL"),(H53))))</formula>
    </cfRule>
  </conditionalFormatting>
  <conditionalFormatting sqref="H53:H54">
    <cfRule type="containsText" dxfId="4" priority="77" operator="containsText" text="INT">
      <formula>NOT(ISERROR(SEARCH(("INT"),(H53))))</formula>
    </cfRule>
  </conditionalFormatting>
  <conditionalFormatting sqref="H53:H54">
    <cfRule type="containsText" dxfId="5" priority="78" operator="containsText" text="STR">
      <formula>NOT(ISERROR(SEARCH(("STR"),(H53))))</formula>
    </cfRule>
  </conditionalFormatting>
  <conditionalFormatting sqref="H57:H58">
    <cfRule type="containsText" dxfId="8" priority="79" operator="containsText" text="CAR">
      <formula>NOT(ISERROR(SEARCH(("CAR"),(H57))))</formula>
    </cfRule>
  </conditionalFormatting>
  <conditionalFormatting sqref="H57:H58">
    <cfRule type="containsText" dxfId="1" priority="80" operator="containsText" text="AGI">
      <formula>NOT(ISERROR(SEARCH(("AGI"),(H57))))</formula>
    </cfRule>
  </conditionalFormatting>
  <conditionalFormatting sqref="H57:H58">
    <cfRule type="containsText" dxfId="2" priority="81" operator="containsText" text="PER">
      <formula>NOT(ISERROR(SEARCH(("PER"),(H57))))</formula>
    </cfRule>
  </conditionalFormatting>
  <conditionalFormatting sqref="H57:H58">
    <cfRule type="containsText" dxfId="3" priority="82" operator="containsText" text="WIL">
      <formula>NOT(ISERROR(SEARCH(("WIL"),(H57))))</formula>
    </cfRule>
  </conditionalFormatting>
  <conditionalFormatting sqref="H57:H58">
    <cfRule type="containsText" dxfId="4" priority="83" operator="containsText" text="INT">
      <formula>NOT(ISERROR(SEARCH(("INT"),(H57))))</formula>
    </cfRule>
  </conditionalFormatting>
  <conditionalFormatting sqref="H57:H58">
    <cfRule type="containsText" dxfId="5" priority="84" operator="containsText" text="STR">
      <formula>NOT(ISERROR(SEARCH(("STR"),(H57))))</formula>
    </cfRule>
  </conditionalFormatting>
  <conditionalFormatting sqref="H55:H56">
    <cfRule type="containsText" dxfId="8" priority="85" operator="containsText" text="CAR">
      <formula>NOT(ISERROR(SEARCH(("CAR"),(H55))))</formula>
    </cfRule>
  </conditionalFormatting>
  <conditionalFormatting sqref="H55:H56">
    <cfRule type="containsText" dxfId="1" priority="86" operator="containsText" text="AGI">
      <formula>NOT(ISERROR(SEARCH(("AGI"),(H55))))</formula>
    </cfRule>
  </conditionalFormatting>
  <conditionalFormatting sqref="H55:H56">
    <cfRule type="containsText" dxfId="2" priority="87" operator="containsText" text="PER">
      <formula>NOT(ISERROR(SEARCH(("PER"),(H55))))</formula>
    </cfRule>
  </conditionalFormatting>
  <conditionalFormatting sqref="H55:H56">
    <cfRule type="containsText" dxfId="3" priority="88" operator="containsText" text="WIL">
      <formula>NOT(ISERROR(SEARCH(("WIL"),(H55))))</formula>
    </cfRule>
  </conditionalFormatting>
  <conditionalFormatting sqref="H55:H56">
    <cfRule type="containsText" dxfId="4" priority="89" operator="containsText" text="INT">
      <formula>NOT(ISERROR(SEARCH(("INT"),(H55))))</formula>
    </cfRule>
  </conditionalFormatting>
  <conditionalFormatting sqref="H55:H56">
    <cfRule type="containsText" dxfId="5" priority="90" operator="containsText" text="STR">
      <formula>NOT(ISERROR(SEARCH(("STR"),(H55))))</formula>
    </cfRule>
  </conditionalFormatting>
  <conditionalFormatting sqref="H59:H60">
    <cfRule type="containsText" dxfId="8" priority="91" operator="containsText" text="CAR">
      <formula>NOT(ISERROR(SEARCH(("CAR"),(H59))))</formula>
    </cfRule>
  </conditionalFormatting>
  <conditionalFormatting sqref="H59:H60">
    <cfRule type="containsText" dxfId="1" priority="92" operator="containsText" text="AGI">
      <formula>NOT(ISERROR(SEARCH(("AGI"),(H59))))</formula>
    </cfRule>
  </conditionalFormatting>
  <conditionalFormatting sqref="H59:H60">
    <cfRule type="containsText" dxfId="2" priority="93" operator="containsText" text="PER">
      <formula>NOT(ISERROR(SEARCH(("PER"),(H59))))</formula>
    </cfRule>
  </conditionalFormatting>
  <conditionalFormatting sqref="H59:H60">
    <cfRule type="containsText" dxfId="3" priority="94" operator="containsText" text="WIL">
      <formula>NOT(ISERROR(SEARCH(("WIL"),(H59))))</formula>
    </cfRule>
  </conditionalFormatting>
  <conditionalFormatting sqref="H59:H60">
    <cfRule type="containsText" dxfId="4" priority="95" operator="containsText" text="INT">
      <formula>NOT(ISERROR(SEARCH(("INT"),(H59))))</formula>
    </cfRule>
  </conditionalFormatting>
  <conditionalFormatting sqref="H59:H60">
    <cfRule type="containsText" dxfId="5" priority="96" operator="containsText" text="STR">
      <formula>NOT(ISERROR(SEARCH(("STR"),(H59))))</formula>
    </cfRule>
  </conditionalFormatting>
  <conditionalFormatting sqref="R5:R8">
    <cfRule type="containsText" dxfId="8" priority="97" operator="containsText" text="CAR">
      <formula>NOT(ISERROR(SEARCH(("CAR"),(R5))))</formula>
    </cfRule>
  </conditionalFormatting>
  <conditionalFormatting sqref="R5:R8">
    <cfRule type="containsText" dxfId="1" priority="98" operator="containsText" text="AGI">
      <formula>NOT(ISERROR(SEARCH(("AGI"),(R5))))</formula>
    </cfRule>
  </conditionalFormatting>
  <conditionalFormatting sqref="R5:R8">
    <cfRule type="containsText" dxfId="2" priority="99" operator="containsText" text="PER">
      <formula>NOT(ISERROR(SEARCH(("PER"),(R5))))</formula>
    </cfRule>
  </conditionalFormatting>
  <conditionalFormatting sqref="R5:R8">
    <cfRule type="containsText" dxfId="3" priority="100" operator="containsText" text="WIL">
      <formula>NOT(ISERROR(SEARCH(("WIL"),(R5))))</formula>
    </cfRule>
  </conditionalFormatting>
  <conditionalFormatting sqref="R5:R8">
    <cfRule type="containsText" dxfId="4" priority="101" operator="containsText" text="INT">
      <formula>NOT(ISERROR(SEARCH(("INT"),(R5))))</formula>
    </cfRule>
  </conditionalFormatting>
  <conditionalFormatting sqref="R5:R8">
    <cfRule type="containsText" dxfId="5" priority="102" operator="containsText" text="STR">
      <formula>NOT(ISERROR(SEARCH(("STR"),(R5))))</formula>
    </cfRule>
  </conditionalFormatting>
  <conditionalFormatting sqref="R11:R12">
    <cfRule type="containsText" dxfId="8" priority="103" operator="containsText" text="CAR">
      <formula>NOT(ISERROR(SEARCH(("CAR"),(R11))))</formula>
    </cfRule>
  </conditionalFormatting>
  <conditionalFormatting sqref="R11:R12">
    <cfRule type="containsText" dxfId="1" priority="104" operator="containsText" text="AGI">
      <formula>NOT(ISERROR(SEARCH(("AGI"),(R11))))</formula>
    </cfRule>
  </conditionalFormatting>
  <conditionalFormatting sqref="R11:R12">
    <cfRule type="containsText" dxfId="2" priority="105" operator="containsText" text="PER">
      <formula>NOT(ISERROR(SEARCH(("PER"),(R11))))</formula>
    </cfRule>
  </conditionalFormatting>
  <conditionalFormatting sqref="R11:R12">
    <cfRule type="containsText" dxfId="3" priority="106" operator="containsText" text="WIL">
      <formula>NOT(ISERROR(SEARCH(("WIL"),(R11))))</formula>
    </cfRule>
  </conditionalFormatting>
  <conditionalFormatting sqref="R11:R12">
    <cfRule type="containsText" dxfId="4" priority="107" operator="containsText" text="INT">
      <formula>NOT(ISERROR(SEARCH(("INT"),(R11))))</formula>
    </cfRule>
  </conditionalFormatting>
  <conditionalFormatting sqref="R11:R12">
    <cfRule type="containsText" dxfId="5" priority="108" operator="containsText" text="STR">
      <formula>NOT(ISERROR(SEARCH(("STR"),(R11))))</formula>
    </cfRule>
  </conditionalFormatting>
  <conditionalFormatting sqref="R17:R18">
    <cfRule type="containsText" dxfId="8" priority="109" operator="containsText" text="CAR">
      <formula>NOT(ISERROR(SEARCH(("CAR"),(R17))))</formula>
    </cfRule>
  </conditionalFormatting>
  <conditionalFormatting sqref="R17:R18">
    <cfRule type="containsText" dxfId="1" priority="110" operator="containsText" text="AGI">
      <formula>NOT(ISERROR(SEARCH(("AGI"),(R17))))</formula>
    </cfRule>
  </conditionalFormatting>
  <conditionalFormatting sqref="R17:R18">
    <cfRule type="containsText" dxfId="2" priority="111" operator="containsText" text="PER">
      <formula>NOT(ISERROR(SEARCH(("PER"),(R17))))</formula>
    </cfRule>
  </conditionalFormatting>
  <conditionalFormatting sqref="R17:R18">
    <cfRule type="containsText" dxfId="3" priority="112" operator="containsText" text="WIL">
      <formula>NOT(ISERROR(SEARCH(("WIL"),(R17))))</formula>
    </cfRule>
  </conditionalFormatting>
  <conditionalFormatting sqref="R17:R18">
    <cfRule type="containsText" dxfId="4" priority="113" operator="containsText" text="INT">
      <formula>NOT(ISERROR(SEARCH(("INT"),(R17))))</formula>
    </cfRule>
  </conditionalFormatting>
  <conditionalFormatting sqref="R17:R18">
    <cfRule type="containsText" dxfId="5" priority="114" operator="containsText" text="STR">
      <formula>NOT(ISERROR(SEARCH(("STR"),(R17))))</formula>
    </cfRule>
  </conditionalFormatting>
  <conditionalFormatting sqref="R53:R54">
    <cfRule type="containsText" dxfId="8" priority="115" operator="containsText" text="CAR">
      <formula>NOT(ISERROR(SEARCH(("CAR"),(R53))))</formula>
    </cfRule>
  </conditionalFormatting>
  <conditionalFormatting sqref="R53:R54">
    <cfRule type="containsText" dxfId="1" priority="116" operator="containsText" text="AGI">
      <formula>NOT(ISERROR(SEARCH(("AGI"),(R53))))</formula>
    </cfRule>
  </conditionalFormatting>
  <conditionalFormatting sqref="R53:R54">
    <cfRule type="containsText" dxfId="2" priority="117" operator="containsText" text="PER">
      <formula>NOT(ISERROR(SEARCH(("PER"),(R53))))</formula>
    </cfRule>
  </conditionalFormatting>
  <conditionalFormatting sqref="R53:R54">
    <cfRule type="containsText" dxfId="3" priority="118" operator="containsText" text="WIL">
      <formula>NOT(ISERROR(SEARCH(("WIL"),(R53))))</formula>
    </cfRule>
  </conditionalFormatting>
  <conditionalFormatting sqref="R53:R54">
    <cfRule type="containsText" dxfId="4" priority="119" operator="containsText" text="INT">
      <formula>NOT(ISERROR(SEARCH(("INT"),(R53))))</formula>
    </cfRule>
  </conditionalFormatting>
  <conditionalFormatting sqref="R53:R54">
    <cfRule type="containsText" dxfId="5" priority="120" operator="containsText" text="STR">
      <formula>NOT(ISERROR(SEARCH(("STR"),(R53))))</formula>
    </cfRule>
  </conditionalFormatting>
  <conditionalFormatting sqref="R23:R24">
    <cfRule type="containsText" dxfId="8" priority="121" operator="containsText" text="CAR">
      <formula>NOT(ISERROR(SEARCH(("CAR"),(R23))))</formula>
    </cfRule>
  </conditionalFormatting>
  <conditionalFormatting sqref="R23:R24">
    <cfRule type="containsText" dxfId="1" priority="122" operator="containsText" text="AGI">
      <formula>NOT(ISERROR(SEARCH(("AGI"),(R23))))</formula>
    </cfRule>
  </conditionalFormatting>
  <conditionalFormatting sqref="R23:R24">
    <cfRule type="containsText" dxfId="2" priority="123" operator="containsText" text="PER">
      <formula>NOT(ISERROR(SEARCH(("PER"),(R23))))</formula>
    </cfRule>
  </conditionalFormatting>
  <conditionalFormatting sqref="R23:R24">
    <cfRule type="containsText" dxfId="3" priority="124" operator="containsText" text="WIL">
      <formula>NOT(ISERROR(SEARCH(("WIL"),(R23))))</formula>
    </cfRule>
  </conditionalFormatting>
  <conditionalFormatting sqref="R23:R24">
    <cfRule type="containsText" dxfId="4" priority="125" operator="containsText" text="INT">
      <formula>NOT(ISERROR(SEARCH(("INT"),(R23))))</formula>
    </cfRule>
  </conditionalFormatting>
  <conditionalFormatting sqref="R23:R24">
    <cfRule type="containsText" dxfId="5" priority="126" operator="containsText" text="STR">
      <formula>NOT(ISERROR(SEARCH(("STR"),(R23))))</formula>
    </cfRule>
  </conditionalFormatting>
  <conditionalFormatting sqref="P87:P88">
    <cfRule type="containsText" dxfId="8" priority="127" operator="containsText" text="CAR">
      <formula>NOT(ISERROR(SEARCH(("CAR"),(P87))))</formula>
    </cfRule>
  </conditionalFormatting>
  <conditionalFormatting sqref="P87:P88">
    <cfRule type="containsText" dxfId="1" priority="128" operator="containsText" text="AGI">
      <formula>NOT(ISERROR(SEARCH(("AGI"),(P87))))</formula>
    </cfRule>
  </conditionalFormatting>
  <conditionalFormatting sqref="P87:P88">
    <cfRule type="containsText" dxfId="2" priority="129" operator="containsText" text="PER">
      <formula>NOT(ISERROR(SEARCH(("PER"),(P87))))</formula>
    </cfRule>
  </conditionalFormatting>
  <conditionalFormatting sqref="P87:P88">
    <cfRule type="containsText" dxfId="3" priority="130" operator="containsText" text="WIL">
      <formula>NOT(ISERROR(SEARCH(("WIL"),(P87))))</formula>
    </cfRule>
  </conditionalFormatting>
  <conditionalFormatting sqref="P87:P88">
    <cfRule type="containsText" dxfId="4" priority="131" operator="containsText" text="INT">
      <formula>NOT(ISERROR(SEARCH(("INT"),(P87))))</formula>
    </cfRule>
  </conditionalFormatting>
  <conditionalFormatting sqref="P87:P88">
    <cfRule type="containsText" dxfId="5" priority="132" operator="containsText" text="STR">
      <formula>NOT(ISERROR(SEARCH(("STR"),(P87))))</formula>
    </cfRule>
  </conditionalFormatting>
  <conditionalFormatting sqref="H19:H20">
    <cfRule type="containsText" dxfId="8" priority="133" operator="containsText" text="CAR">
      <formula>NOT(ISERROR(SEARCH(("CAR"),(H19))))</formula>
    </cfRule>
  </conditionalFormatting>
  <conditionalFormatting sqref="H19:H20">
    <cfRule type="containsText" dxfId="1" priority="134" operator="containsText" text="AGI">
      <formula>NOT(ISERROR(SEARCH(("AGI"),(H19))))</formula>
    </cfRule>
  </conditionalFormatting>
  <conditionalFormatting sqref="H19:H20">
    <cfRule type="containsText" dxfId="2" priority="135" operator="containsText" text="PER">
      <formula>NOT(ISERROR(SEARCH(("PER"),(H19))))</formula>
    </cfRule>
  </conditionalFormatting>
  <conditionalFormatting sqref="H19:H20">
    <cfRule type="containsText" dxfId="3" priority="136" operator="containsText" text="WIL">
      <formula>NOT(ISERROR(SEARCH(("WIL"),(H19))))</formula>
    </cfRule>
  </conditionalFormatting>
  <conditionalFormatting sqref="H19:H20">
    <cfRule type="containsText" dxfId="4" priority="137" operator="containsText" text="INT">
      <formula>NOT(ISERROR(SEARCH(("INT"),(H19))))</formula>
    </cfRule>
  </conditionalFormatting>
  <conditionalFormatting sqref="H19:H20">
    <cfRule type="containsText" dxfId="5" priority="138" operator="containsText" text="STR">
      <formula>NOT(ISERROR(SEARCH(("STR"),(H19))))</formula>
    </cfRule>
  </conditionalFormatting>
  <conditionalFormatting sqref="H21:H22">
    <cfRule type="containsText" dxfId="8" priority="139" operator="containsText" text="CAR">
      <formula>NOT(ISERROR(SEARCH(("CAR"),(H21))))</formula>
    </cfRule>
  </conditionalFormatting>
  <conditionalFormatting sqref="H21:H22">
    <cfRule type="containsText" dxfId="1" priority="140" operator="containsText" text="AGI">
      <formula>NOT(ISERROR(SEARCH(("AGI"),(H21))))</formula>
    </cfRule>
  </conditionalFormatting>
  <conditionalFormatting sqref="H21:H22">
    <cfRule type="containsText" dxfId="2" priority="141" operator="containsText" text="PER">
      <formula>NOT(ISERROR(SEARCH(("PER"),(H21))))</formula>
    </cfRule>
  </conditionalFormatting>
  <conditionalFormatting sqref="H21:H22">
    <cfRule type="containsText" dxfId="3" priority="142" operator="containsText" text="WIL">
      <formula>NOT(ISERROR(SEARCH(("WIL"),(H21))))</formula>
    </cfRule>
  </conditionalFormatting>
  <conditionalFormatting sqref="H21:H22">
    <cfRule type="containsText" dxfId="4" priority="143" operator="containsText" text="INT">
      <formula>NOT(ISERROR(SEARCH(("INT"),(H21))))</formula>
    </cfRule>
  </conditionalFormatting>
  <conditionalFormatting sqref="H21:H22">
    <cfRule type="containsText" dxfId="5" priority="144" operator="containsText" text="STR">
      <formula>NOT(ISERROR(SEARCH(("STR"),(H21))))</formula>
    </cfRule>
  </conditionalFormatting>
  <conditionalFormatting sqref="P101:P102">
    <cfRule type="containsText" dxfId="8" priority="145" operator="containsText" text="CAR">
      <formula>NOT(ISERROR(SEARCH(("CAR"),(P101))))</formula>
    </cfRule>
  </conditionalFormatting>
  <conditionalFormatting sqref="P101:P102">
    <cfRule type="containsText" dxfId="1" priority="146" operator="containsText" text="AGI">
      <formula>NOT(ISERROR(SEARCH(("AGI"),(P101))))</formula>
    </cfRule>
  </conditionalFormatting>
  <conditionalFormatting sqref="P101:P102">
    <cfRule type="containsText" dxfId="2" priority="147" operator="containsText" text="PER">
      <formula>NOT(ISERROR(SEARCH(("PER"),(P101))))</formula>
    </cfRule>
  </conditionalFormatting>
  <conditionalFormatting sqref="P101:P102">
    <cfRule type="containsText" dxfId="3" priority="148" operator="containsText" text="WIL">
      <formula>NOT(ISERROR(SEARCH(("WIL"),(P101))))</formula>
    </cfRule>
  </conditionalFormatting>
  <conditionalFormatting sqref="P101:P102">
    <cfRule type="containsText" dxfId="4" priority="149" operator="containsText" text="INT">
      <formula>NOT(ISERROR(SEARCH(("INT"),(P101))))</formula>
    </cfRule>
  </conditionalFormatting>
  <conditionalFormatting sqref="P101:P102">
    <cfRule type="containsText" dxfId="5" priority="150" operator="containsText" text="STR">
      <formula>NOT(ISERROR(SEARCH(("STR"),(P101))))</formula>
    </cfRule>
  </conditionalFormatting>
  <conditionalFormatting sqref="W73:W74">
    <cfRule type="containsText" dxfId="8" priority="151" operator="containsText" text="CAR">
      <formula>NOT(ISERROR(SEARCH(("CAR"),(W73))))</formula>
    </cfRule>
  </conditionalFormatting>
  <conditionalFormatting sqref="W73:W74">
    <cfRule type="containsText" dxfId="1" priority="152" operator="containsText" text="AGI">
      <formula>NOT(ISERROR(SEARCH(("AGI"),(W73))))</formula>
    </cfRule>
  </conditionalFormatting>
  <conditionalFormatting sqref="W73:W74">
    <cfRule type="containsText" dxfId="2" priority="153" operator="containsText" text="PER">
      <formula>NOT(ISERROR(SEARCH(("PER"),(W73))))</formula>
    </cfRule>
  </conditionalFormatting>
  <conditionalFormatting sqref="W73:W74">
    <cfRule type="containsText" dxfId="3" priority="154" operator="containsText" text="WIL">
      <formula>NOT(ISERROR(SEARCH(("WIL"),(W73))))</formula>
    </cfRule>
  </conditionalFormatting>
  <conditionalFormatting sqref="W73:W74">
    <cfRule type="containsText" dxfId="4" priority="155" operator="containsText" text="INT">
      <formula>NOT(ISERROR(SEARCH(("INT"),(W73))))</formula>
    </cfRule>
  </conditionalFormatting>
  <conditionalFormatting sqref="W73:W74">
    <cfRule type="containsText" dxfId="5" priority="156" operator="containsText" text="STR">
      <formula>NOT(ISERROR(SEARCH(("STR"),(W73))))</formula>
    </cfRule>
  </conditionalFormatting>
  <conditionalFormatting sqref="P81:P82">
    <cfRule type="containsText" dxfId="8" priority="157" operator="containsText" text="CAR">
      <formula>NOT(ISERROR(SEARCH(("CAR"),(P81))))</formula>
    </cfRule>
  </conditionalFormatting>
  <conditionalFormatting sqref="P81:P82">
    <cfRule type="containsText" dxfId="1" priority="158" operator="containsText" text="AGI">
      <formula>NOT(ISERROR(SEARCH(("AGI"),(P81))))</formula>
    </cfRule>
  </conditionalFormatting>
  <conditionalFormatting sqref="P81:P82">
    <cfRule type="containsText" dxfId="2" priority="159" operator="containsText" text="PER">
      <formula>NOT(ISERROR(SEARCH(("PER"),(P81))))</formula>
    </cfRule>
  </conditionalFormatting>
  <conditionalFormatting sqref="P81:P82">
    <cfRule type="containsText" dxfId="3" priority="160" operator="containsText" text="WIL">
      <formula>NOT(ISERROR(SEARCH(("WIL"),(P81))))</formula>
    </cfRule>
  </conditionalFormatting>
  <conditionalFormatting sqref="P81:P82">
    <cfRule type="containsText" dxfId="4" priority="161" operator="containsText" text="INT">
      <formula>NOT(ISERROR(SEARCH(("INT"),(P81))))</formula>
    </cfRule>
  </conditionalFormatting>
  <conditionalFormatting sqref="P81:P82">
    <cfRule type="containsText" dxfId="5" priority="162" operator="containsText" text="STR">
      <formula>NOT(ISERROR(SEARCH(("STR"),(P81))))</formula>
    </cfRule>
  </conditionalFormatting>
  <conditionalFormatting sqref="P93:P94">
    <cfRule type="containsText" dxfId="8" priority="163" operator="containsText" text="CAR">
      <formula>NOT(ISERROR(SEARCH(("CAR"),(P93))))</formula>
    </cfRule>
  </conditionalFormatting>
  <conditionalFormatting sqref="P93:P94">
    <cfRule type="containsText" dxfId="1" priority="164" operator="containsText" text="AGI">
      <formula>NOT(ISERROR(SEARCH(("AGI"),(P93))))</formula>
    </cfRule>
  </conditionalFormatting>
  <conditionalFormatting sqref="P93:P94">
    <cfRule type="containsText" dxfId="2" priority="165" operator="containsText" text="PER">
      <formula>NOT(ISERROR(SEARCH(("PER"),(P93))))</formula>
    </cfRule>
  </conditionalFormatting>
  <conditionalFormatting sqref="P93:P94">
    <cfRule type="containsText" dxfId="3" priority="166" operator="containsText" text="WIL">
      <formula>NOT(ISERROR(SEARCH(("WIL"),(P93))))</formula>
    </cfRule>
  </conditionalFormatting>
  <conditionalFormatting sqref="P93:P94">
    <cfRule type="containsText" dxfId="4" priority="167" operator="containsText" text="INT">
      <formula>NOT(ISERROR(SEARCH(("INT"),(P93))))</formula>
    </cfRule>
  </conditionalFormatting>
  <conditionalFormatting sqref="P93:P94">
    <cfRule type="containsText" dxfId="5" priority="168" operator="containsText" text="STR">
      <formula>NOT(ISERROR(SEARCH(("STR"),(P93))))</formula>
    </cfRule>
  </conditionalFormatting>
  <conditionalFormatting sqref="R19:R20">
    <cfRule type="containsText" dxfId="8" priority="169" operator="containsText" text="CAR">
      <formula>NOT(ISERROR(SEARCH(("CAR"),(R19))))</formula>
    </cfRule>
  </conditionalFormatting>
  <conditionalFormatting sqref="R19:R20">
    <cfRule type="containsText" dxfId="1" priority="170" operator="containsText" text="AGI">
      <formula>NOT(ISERROR(SEARCH(("AGI"),(R19))))</formula>
    </cfRule>
  </conditionalFormatting>
  <conditionalFormatting sqref="R19:R20">
    <cfRule type="containsText" dxfId="2" priority="171" operator="containsText" text="PER">
      <formula>NOT(ISERROR(SEARCH(("PER"),(R19))))</formula>
    </cfRule>
  </conditionalFormatting>
  <conditionalFormatting sqref="R19:R20">
    <cfRule type="containsText" dxfId="3" priority="172" operator="containsText" text="WIL">
      <formula>NOT(ISERROR(SEARCH(("WIL"),(R19))))</formula>
    </cfRule>
  </conditionalFormatting>
  <conditionalFormatting sqref="R19:R20">
    <cfRule type="containsText" dxfId="4" priority="173" operator="containsText" text="INT">
      <formula>NOT(ISERROR(SEARCH(("INT"),(R19))))</formula>
    </cfRule>
  </conditionalFormatting>
  <conditionalFormatting sqref="R19:R20">
    <cfRule type="containsText" dxfId="5" priority="174" operator="containsText" text="STR">
      <formula>NOT(ISERROR(SEARCH(("STR"),(R19))))</formula>
    </cfRule>
  </conditionalFormatting>
  <conditionalFormatting sqref="R55:R56">
    <cfRule type="containsText" dxfId="8" priority="175" operator="containsText" text="CAR">
      <formula>NOT(ISERROR(SEARCH(("CAR"),(R55))))</formula>
    </cfRule>
  </conditionalFormatting>
  <conditionalFormatting sqref="R55:R56">
    <cfRule type="containsText" dxfId="1" priority="176" operator="containsText" text="AGI">
      <formula>NOT(ISERROR(SEARCH(("AGI"),(R55))))</formula>
    </cfRule>
  </conditionalFormatting>
  <conditionalFormatting sqref="R55:R56">
    <cfRule type="containsText" dxfId="2" priority="177" operator="containsText" text="PER">
      <formula>NOT(ISERROR(SEARCH(("PER"),(R55))))</formula>
    </cfRule>
  </conditionalFormatting>
  <conditionalFormatting sqref="R55:R56">
    <cfRule type="containsText" dxfId="3" priority="178" operator="containsText" text="WIL">
      <formula>NOT(ISERROR(SEARCH(("WIL"),(R55))))</formula>
    </cfRule>
  </conditionalFormatting>
  <conditionalFormatting sqref="R55:R56">
    <cfRule type="containsText" dxfId="4" priority="179" operator="containsText" text="INT">
      <formula>NOT(ISERROR(SEARCH(("INT"),(R55))))</formula>
    </cfRule>
  </conditionalFormatting>
  <conditionalFormatting sqref="R55:R56">
    <cfRule type="containsText" dxfId="5" priority="180" operator="containsText" text="STR">
      <formula>NOT(ISERROR(SEARCH(("STR"),(R55))))</formula>
    </cfRule>
  </conditionalFormatting>
  <conditionalFormatting sqref="W106:W107">
    <cfRule type="containsText" dxfId="8" priority="181" operator="containsText" text="CAR">
      <formula>NOT(ISERROR(SEARCH(("CAR"),(W106))))</formula>
    </cfRule>
  </conditionalFormatting>
  <conditionalFormatting sqref="W106:W107">
    <cfRule type="containsText" dxfId="1" priority="182" operator="containsText" text="AGI">
      <formula>NOT(ISERROR(SEARCH(("AGI"),(W106))))</formula>
    </cfRule>
  </conditionalFormatting>
  <conditionalFormatting sqref="W106:W107">
    <cfRule type="containsText" dxfId="2" priority="183" operator="containsText" text="PER">
      <formula>NOT(ISERROR(SEARCH(("PER"),(W106))))</formula>
    </cfRule>
  </conditionalFormatting>
  <conditionalFormatting sqref="W106:W107">
    <cfRule type="containsText" dxfId="3" priority="184" operator="containsText" text="WIL">
      <formula>NOT(ISERROR(SEARCH(("WIL"),(W106))))</formula>
    </cfRule>
  </conditionalFormatting>
  <conditionalFormatting sqref="W106:W107">
    <cfRule type="containsText" dxfId="4" priority="185" operator="containsText" text="INT">
      <formula>NOT(ISERROR(SEARCH(("INT"),(W106))))</formula>
    </cfRule>
  </conditionalFormatting>
  <conditionalFormatting sqref="W106:W107">
    <cfRule type="containsText" dxfId="5" priority="186" operator="containsText" text="STR">
      <formula>NOT(ISERROR(SEARCH(("STR"),(W106))))</formula>
    </cfRule>
  </conditionalFormatting>
  <conditionalFormatting sqref="W71:W72">
    <cfRule type="containsText" dxfId="8" priority="187" operator="containsText" text="CAR">
      <formula>NOT(ISERROR(SEARCH(("CAR"),(W71))))</formula>
    </cfRule>
  </conditionalFormatting>
  <conditionalFormatting sqref="W71:W72">
    <cfRule type="containsText" dxfId="1" priority="188" operator="containsText" text="AGI">
      <formula>NOT(ISERROR(SEARCH(("AGI"),(W71))))</formula>
    </cfRule>
  </conditionalFormatting>
  <conditionalFormatting sqref="W71:W72">
    <cfRule type="containsText" dxfId="2" priority="189" operator="containsText" text="PER">
      <formula>NOT(ISERROR(SEARCH(("PER"),(W71))))</formula>
    </cfRule>
  </conditionalFormatting>
  <conditionalFormatting sqref="W71:W72">
    <cfRule type="containsText" dxfId="3" priority="190" operator="containsText" text="WIL">
      <formula>NOT(ISERROR(SEARCH(("WIL"),(W71))))</formula>
    </cfRule>
  </conditionalFormatting>
  <conditionalFormatting sqref="W71:W72">
    <cfRule type="containsText" dxfId="4" priority="191" operator="containsText" text="INT">
      <formula>NOT(ISERROR(SEARCH(("INT"),(W71))))</formula>
    </cfRule>
  </conditionalFormatting>
  <conditionalFormatting sqref="W71:W72">
    <cfRule type="containsText" dxfId="5" priority="192" operator="containsText" text="STR">
      <formula>NOT(ISERROR(SEARCH(("STR"),(W71))))</formula>
    </cfRule>
  </conditionalFormatting>
  <conditionalFormatting sqref="R13:R14">
    <cfRule type="containsText" dxfId="8" priority="193" operator="containsText" text="CAR">
      <formula>NOT(ISERROR(SEARCH(("CAR"),(R13))))</formula>
    </cfRule>
  </conditionalFormatting>
  <conditionalFormatting sqref="R13:R14">
    <cfRule type="containsText" dxfId="1" priority="194" operator="containsText" text="AGI">
      <formula>NOT(ISERROR(SEARCH(("AGI"),(R13))))</formula>
    </cfRule>
  </conditionalFormatting>
  <conditionalFormatting sqref="R13:R14">
    <cfRule type="containsText" dxfId="2" priority="195" operator="containsText" text="PER">
      <formula>NOT(ISERROR(SEARCH(("PER"),(R13))))</formula>
    </cfRule>
  </conditionalFormatting>
  <conditionalFormatting sqref="R13:R14">
    <cfRule type="containsText" dxfId="3" priority="196" operator="containsText" text="WIL">
      <formula>NOT(ISERROR(SEARCH(("WIL"),(R13))))</formula>
    </cfRule>
  </conditionalFormatting>
  <conditionalFormatting sqref="R13:R14">
    <cfRule type="containsText" dxfId="4" priority="197" operator="containsText" text="INT">
      <formula>NOT(ISERROR(SEARCH(("INT"),(R13))))</formula>
    </cfRule>
  </conditionalFormatting>
  <conditionalFormatting sqref="R13:R14">
    <cfRule type="containsText" dxfId="5" priority="198" operator="containsText" text="STR">
      <formula>NOT(ISERROR(SEARCH(("STR"),(R13))))</formula>
    </cfRule>
  </conditionalFormatting>
  <conditionalFormatting sqref="I13:I14">
    <cfRule type="containsText" dxfId="8" priority="199" operator="containsText" text="CAR">
      <formula>NOT(ISERROR(SEARCH(("CAR"),(I13))))</formula>
    </cfRule>
  </conditionalFormatting>
  <conditionalFormatting sqref="I13:I14">
    <cfRule type="containsText" dxfId="1" priority="200" operator="containsText" text="AGI">
      <formula>NOT(ISERROR(SEARCH(("AGI"),(I13))))</formula>
    </cfRule>
  </conditionalFormatting>
  <conditionalFormatting sqref="I13:I14">
    <cfRule type="containsText" dxfId="2" priority="201" operator="containsText" text="PER">
      <formula>NOT(ISERROR(SEARCH(("PER"),(I13))))</formula>
    </cfRule>
  </conditionalFormatting>
  <conditionalFormatting sqref="I13:I14">
    <cfRule type="containsText" dxfId="3" priority="202" operator="containsText" text="WIL">
      <formula>NOT(ISERROR(SEARCH(("WIL"),(I13))))</formula>
    </cfRule>
  </conditionalFormatting>
  <conditionalFormatting sqref="I13:I14">
    <cfRule type="containsText" dxfId="4" priority="203" operator="containsText" text="INT">
      <formula>NOT(ISERROR(SEARCH(("INT"),(I13))))</formula>
    </cfRule>
  </conditionalFormatting>
  <conditionalFormatting sqref="I13:I14">
    <cfRule type="containsText" dxfId="5" priority="204" operator="containsText" text="STR">
      <formula>NOT(ISERROR(SEARCH(("STR"),(I13))))</formula>
    </cfRule>
  </conditionalFormatting>
  <conditionalFormatting sqref="P91:P92">
    <cfRule type="containsText" dxfId="8" priority="205" operator="containsText" text="CAR">
      <formula>NOT(ISERROR(SEARCH(("CAR"),(P91))))</formula>
    </cfRule>
  </conditionalFormatting>
  <conditionalFormatting sqref="P91:P92">
    <cfRule type="containsText" dxfId="1" priority="206" operator="containsText" text="AGI">
      <formula>NOT(ISERROR(SEARCH(("AGI"),(P91))))</formula>
    </cfRule>
  </conditionalFormatting>
  <conditionalFormatting sqref="P91:P92">
    <cfRule type="containsText" dxfId="2" priority="207" operator="containsText" text="PER">
      <formula>NOT(ISERROR(SEARCH(("PER"),(P91))))</formula>
    </cfRule>
  </conditionalFormatting>
  <conditionalFormatting sqref="P91:P92">
    <cfRule type="containsText" dxfId="3" priority="208" operator="containsText" text="WIL">
      <formula>NOT(ISERROR(SEARCH(("WIL"),(P91))))</formula>
    </cfRule>
  </conditionalFormatting>
  <conditionalFormatting sqref="P91:P92">
    <cfRule type="containsText" dxfId="4" priority="209" operator="containsText" text="INT">
      <formula>NOT(ISERROR(SEARCH(("INT"),(P91))))</formula>
    </cfRule>
  </conditionalFormatting>
  <conditionalFormatting sqref="P91:P92">
    <cfRule type="containsText" dxfId="5" priority="210" operator="containsText" text="STR">
      <formula>NOT(ISERROR(SEARCH(("STR"),(P91))))</formula>
    </cfRule>
  </conditionalFormatting>
  <conditionalFormatting sqref="R59:R60">
    <cfRule type="containsText" dxfId="8" priority="211" operator="containsText" text="CAR">
      <formula>NOT(ISERROR(SEARCH(("CAR"),(R59))))</formula>
    </cfRule>
  </conditionalFormatting>
  <conditionalFormatting sqref="R59:R60">
    <cfRule type="containsText" dxfId="1" priority="212" operator="containsText" text="AGI">
      <formula>NOT(ISERROR(SEARCH(("AGI"),(R59))))</formula>
    </cfRule>
  </conditionalFormatting>
  <conditionalFormatting sqref="R59:R60">
    <cfRule type="containsText" dxfId="2" priority="213" operator="containsText" text="PER">
      <formula>NOT(ISERROR(SEARCH(("PER"),(R59))))</formula>
    </cfRule>
  </conditionalFormatting>
  <conditionalFormatting sqref="R59:R60">
    <cfRule type="containsText" dxfId="3" priority="214" operator="containsText" text="WIL">
      <formula>NOT(ISERROR(SEARCH(("WIL"),(R59))))</formula>
    </cfRule>
  </conditionalFormatting>
  <conditionalFormatting sqref="R59:R60">
    <cfRule type="containsText" dxfId="4" priority="215" operator="containsText" text="INT">
      <formula>NOT(ISERROR(SEARCH(("INT"),(R59))))</formula>
    </cfRule>
  </conditionalFormatting>
  <conditionalFormatting sqref="R59:R60">
    <cfRule type="containsText" dxfId="5" priority="216" operator="containsText" text="STR">
      <formula>NOT(ISERROR(SEARCH(("STR"),(R59))))</formula>
    </cfRule>
  </conditionalFormatting>
  <conditionalFormatting sqref="H23:H24">
    <cfRule type="containsText" dxfId="8" priority="217" operator="containsText" text="CAR">
      <formula>NOT(ISERROR(SEARCH(("CAR"),(H23))))</formula>
    </cfRule>
  </conditionalFormatting>
  <conditionalFormatting sqref="H23:H24">
    <cfRule type="containsText" dxfId="1" priority="218" operator="containsText" text="AGI">
      <formula>NOT(ISERROR(SEARCH(("AGI"),(H23))))</formula>
    </cfRule>
  </conditionalFormatting>
  <conditionalFormatting sqref="H23:H24">
    <cfRule type="containsText" dxfId="2" priority="219" operator="containsText" text="PER">
      <formula>NOT(ISERROR(SEARCH(("PER"),(H23))))</formula>
    </cfRule>
  </conditionalFormatting>
  <conditionalFormatting sqref="H23:H24">
    <cfRule type="containsText" dxfId="3" priority="220" operator="containsText" text="WIL">
      <formula>NOT(ISERROR(SEARCH(("WIL"),(H23))))</formula>
    </cfRule>
  </conditionalFormatting>
  <conditionalFormatting sqref="H23:H24">
    <cfRule type="containsText" dxfId="4" priority="221" operator="containsText" text="INT">
      <formula>NOT(ISERROR(SEARCH(("INT"),(H23))))</formula>
    </cfRule>
  </conditionalFormatting>
  <conditionalFormatting sqref="H23:H24">
    <cfRule type="containsText" dxfId="5" priority="222" operator="containsText" text="STR">
      <formula>NOT(ISERROR(SEARCH(("STR"),(H23))))</formula>
    </cfRule>
  </conditionalFormatting>
  <conditionalFormatting sqref="R29:R30">
    <cfRule type="containsText" dxfId="8" priority="223" operator="containsText" text="CAR">
      <formula>NOT(ISERROR(SEARCH(("CAR"),(R29))))</formula>
    </cfRule>
  </conditionalFormatting>
  <conditionalFormatting sqref="R29:R30">
    <cfRule type="containsText" dxfId="1" priority="224" operator="containsText" text="AGI">
      <formula>NOT(ISERROR(SEARCH(("AGI"),(R29))))</formula>
    </cfRule>
  </conditionalFormatting>
  <conditionalFormatting sqref="R29:R30">
    <cfRule type="containsText" dxfId="2" priority="225" operator="containsText" text="PER">
      <formula>NOT(ISERROR(SEARCH(("PER"),(R29))))</formula>
    </cfRule>
  </conditionalFormatting>
  <conditionalFormatting sqref="R29:R30">
    <cfRule type="containsText" dxfId="3" priority="226" operator="containsText" text="WIL">
      <formula>NOT(ISERROR(SEARCH(("WIL"),(R29))))</formula>
    </cfRule>
  </conditionalFormatting>
  <conditionalFormatting sqref="R29:R30">
    <cfRule type="containsText" dxfId="4" priority="227" operator="containsText" text="INT">
      <formula>NOT(ISERROR(SEARCH(("INT"),(R29))))</formula>
    </cfRule>
  </conditionalFormatting>
  <conditionalFormatting sqref="R29:R30">
    <cfRule type="containsText" dxfId="5" priority="228" operator="containsText" text="STR">
      <formula>NOT(ISERROR(SEARCH(("STR"),(R29))))</formula>
    </cfRule>
  </conditionalFormatting>
  <conditionalFormatting sqref="R35:R36">
    <cfRule type="containsText" dxfId="8" priority="229" operator="containsText" text="CAR">
      <formula>NOT(ISERROR(SEARCH(("CAR"),(R35))))</formula>
    </cfRule>
  </conditionalFormatting>
  <conditionalFormatting sqref="R35:R36">
    <cfRule type="containsText" dxfId="1" priority="230" operator="containsText" text="AGI">
      <formula>NOT(ISERROR(SEARCH(("AGI"),(R35))))</formula>
    </cfRule>
  </conditionalFormatting>
  <conditionalFormatting sqref="R35:R36">
    <cfRule type="containsText" dxfId="2" priority="231" operator="containsText" text="PER">
      <formula>NOT(ISERROR(SEARCH(("PER"),(R35))))</formula>
    </cfRule>
  </conditionalFormatting>
  <conditionalFormatting sqref="R35:R36">
    <cfRule type="containsText" dxfId="3" priority="232" operator="containsText" text="WIL">
      <formula>NOT(ISERROR(SEARCH(("WIL"),(R35))))</formula>
    </cfRule>
  </conditionalFormatting>
  <conditionalFormatting sqref="R35:R36">
    <cfRule type="containsText" dxfId="4" priority="233" operator="containsText" text="INT">
      <formula>NOT(ISERROR(SEARCH(("INT"),(R35))))</formula>
    </cfRule>
  </conditionalFormatting>
  <conditionalFormatting sqref="R35:R36">
    <cfRule type="containsText" dxfId="5" priority="234" operator="containsText" text="STR">
      <formula>NOT(ISERROR(SEARCH(("STR"),(R35))))</formula>
    </cfRule>
  </conditionalFormatting>
  <conditionalFormatting sqref="AB6:AB24">
    <cfRule type="containsText" dxfId="8" priority="235" operator="containsText" text="CAR">
      <formula>NOT(ISERROR(SEARCH(("CAR"),(AB6))))</formula>
    </cfRule>
  </conditionalFormatting>
  <conditionalFormatting sqref="AB6:AB24">
    <cfRule type="containsText" dxfId="1" priority="236" operator="containsText" text="AGI">
      <formula>NOT(ISERROR(SEARCH(("AGI"),(AB6))))</formula>
    </cfRule>
  </conditionalFormatting>
  <conditionalFormatting sqref="AB6:AB24">
    <cfRule type="containsText" dxfId="2" priority="237" operator="containsText" text="PER">
      <formula>NOT(ISERROR(SEARCH(("PER"),(AB6))))</formula>
    </cfRule>
  </conditionalFormatting>
  <conditionalFormatting sqref="AB6:AB24">
    <cfRule type="containsText" dxfId="3" priority="238" operator="containsText" text="WIL">
      <formula>NOT(ISERROR(SEARCH(("WIL"),(AB6))))</formula>
    </cfRule>
  </conditionalFormatting>
  <conditionalFormatting sqref="AB6:AB24">
    <cfRule type="containsText" dxfId="4" priority="239" operator="containsText" text="INT">
      <formula>NOT(ISERROR(SEARCH(("INT"),(AB6))))</formula>
    </cfRule>
  </conditionalFormatting>
  <conditionalFormatting sqref="AB6:AB24">
    <cfRule type="containsText" dxfId="5" priority="240" operator="containsText" text="STR">
      <formula>NOT(ISERROR(SEARCH(("STR"),(AB6))))</formula>
    </cfRule>
  </conditionalFormatting>
  <conditionalFormatting sqref="R33:R34">
    <cfRule type="containsText" dxfId="8" priority="241" operator="containsText" text="CAR">
      <formula>NOT(ISERROR(SEARCH(("CAR"),(R33))))</formula>
    </cfRule>
  </conditionalFormatting>
  <conditionalFormatting sqref="R33:R34">
    <cfRule type="containsText" dxfId="1" priority="242" operator="containsText" text="AGI">
      <formula>NOT(ISERROR(SEARCH(("AGI"),(R33))))</formula>
    </cfRule>
  </conditionalFormatting>
  <conditionalFormatting sqref="R33:R34">
    <cfRule type="containsText" dxfId="2" priority="243" operator="containsText" text="PER">
      <formula>NOT(ISERROR(SEARCH(("PER"),(R33))))</formula>
    </cfRule>
  </conditionalFormatting>
  <conditionalFormatting sqref="R33:R34">
    <cfRule type="containsText" dxfId="3" priority="244" operator="containsText" text="WIL">
      <formula>NOT(ISERROR(SEARCH(("WIL"),(R33))))</formula>
    </cfRule>
  </conditionalFormatting>
  <conditionalFormatting sqref="R33:R34">
    <cfRule type="containsText" dxfId="4" priority="245" operator="containsText" text="INT">
      <formula>NOT(ISERROR(SEARCH(("INT"),(R33))))</formula>
    </cfRule>
  </conditionalFormatting>
  <conditionalFormatting sqref="R33:R34">
    <cfRule type="containsText" dxfId="5" priority="246" operator="containsText" text="STR">
      <formula>NOT(ISERROR(SEARCH(("STR"),(R33))))</formula>
    </cfRule>
  </conditionalFormatting>
  <conditionalFormatting sqref="AB27:AB28 AB31:AB60 AB62:AB63">
    <cfRule type="containsText" dxfId="8" priority="247" operator="containsText" text="CAR">
      <formula>NOT(ISERROR(SEARCH(("CAR"),(AB27))))</formula>
    </cfRule>
  </conditionalFormatting>
  <conditionalFormatting sqref="AB27:AB28 AB31:AB60 AB62:AB63">
    <cfRule type="containsText" dxfId="1" priority="248" operator="containsText" text="AGI">
      <formula>NOT(ISERROR(SEARCH(("AGI"),(AB27))))</formula>
    </cfRule>
  </conditionalFormatting>
  <conditionalFormatting sqref="AB27:AB28 AB31:AB60 AB62:AB63">
    <cfRule type="containsText" dxfId="2" priority="249" operator="containsText" text="PER">
      <formula>NOT(ISERROR(SEARCH(("PER"),(AB27))))</formula>
    </cfRule>
  </conditionalFormatting>
  <conditionalFormatting sqref="AB27:AB28 AB31:AB60 AB62:AB63">
    <cfRule type="containsText" dxfId="3" priority="250" operator="containsText" text="WIL">
      <formula>NOT(ISERROR(SEARCH(("WIL"),(AB27))))</formula>
    </cfRule>
  </conditionalFormatting>
  <conditionalFormatting sqref="AB27:AB28 AB31:AB60 AB62:AB63">
    <cfRule type="containsText" dxfId="4" priority="251" operator="containsText" text="INT">
      <formula>NOT(ISERROR(SEARCH(("INT"),(AB27))))</formula>
    </cfRule>
  </conditionalFormatting>
  <conditionalFormatting sqref="AB27:AB28 AB31:AB60 AB62:AB63">
    <cfRule type="containsText" dxfId="5" priority="252" operator="containsText" text="STR">
      <formula>NOT(ISERROR(SEARCH(("STR"),(AB27))))</formula>
    </cfRule>
  </conditionalFormatting>
  <conditionalFormatting sqref="P89:P90">
    <cfRule type="containsText" dxfId="8" priority="253" operator="containsText" text="CAR">
      <formula>NOT(ISERROR(SEARCH(("CAR"),(P89))))</formula>
    </cfRule>
  </conditionalFormatting>
  <conditionalFormatting sqref="P89:P90">
    <cfRule type="containsText" dxfId="1" priority="254" operator="containsText" text="AGI">
      <formula>NOT(ISERROR(SEARCH(("AGI"),(P89))))</formula>
    </cfRule>
  </conditionalFormatting>
  <conditionalFormatting sqref="P89:P90">
    <cfRule type="containsText" dxfId="2" priority="255" operator="containsText" text="PER">
      <formula>NOT(ISERROR(SEARCH(("PER"),(P89))))</formula>
    </cfRule>
  </conditionalFormatting>
  <conditionalFormatting sqref="P89:P90">
    <cfRule type="containsText" dxfId="3" priority="256" operator="containsText" text="WIL">
      <formula>NOT(ISERROR(SEARCH(("WIL"),(P89))))</formula>
    </cfRule>
  </conditionalFormatting>
  <conditionalFormatting sqref="P89:P90">
    <cfRule type="containsText" dxfId="4" priority="257" operator="containsText" text="INT">
      <formula>NOT(ISERROR(SEARCH(("INT"),(P89))))</formula>
    </cfRule>
  </conditionalFormatting>
  <conditionalFormatting sqref="P89:P90">
    <cfRule type="containsText" dxfId="5" priority="258" operator="containsText" text="STR">
      <formula>NOT(ISERROR(SEARCH(("STR"),(P89))))</formula>
    </cfRule>
  </conditionalFormatting>
  <conditionalFormatting sqref="H83:H84">
    <cfRule type="containsText" dxfId="8" priority="259" operator="containsText" text="CAR">
      <formula>NOT(ISERROR(SEARCH(("CAR"),(H83))))</formula>
    </cfRule>
  </conditionalFormatting>
  <conditionalFormatting sqref="H83:H84">
    <cfRule type="containsText" dxfId="1" priority="260" operator="containsText" text="AGI">
      <formula>NOT(ISERROR(SEARCH(("AGI"),(H83))))</formula>
    </cfRule>
  </conditionalFormatting>
  <conditionalFormatting sqref="H83:H84">
    <cfRule type="containsText" dxfId="2" priority="261" operator="containsText" text="PER">
      <formula>NOT(ISERROR(SEARCH(("PER"),(H83))))</formula>
    </cfRule>
  </conditionalFormatting>
  <conditionalFormatting sqref="H83:H84">
    <cfRule type="containsText" dxfId="3" priority="262" operator="containsText" text="WIL">
      <formula>NOT(ISERROR(SEARCH(("WIL"),(H83))))</formula>
    </cfRule>
  </conditionalFormatting>
  <conditionalFormatting sqref="H83:H84">
    <cfRule type="containsText" dxfId="4" priority="263" operator="containsText" text="INT">
      <formula>NOT(ISERROR(SEARCH(("INT"),(H83))))</formula>
    </cfRule>
  </conditionalFormatting>
  <conditionalFormatting sqref="H83:H84">
    <cfRule type="containsText" dxfId="5" priority="264" operator="containsText" text="STR">
      <formula>NOT(ISERROR(SEARCH(("STR"),(H83))))</formula>
    </cfRule>
  </conditionalFormatting>
  <conditionalFormatting sqref="P97:P98">
    <cfRule type="containsText" dxfId="8" priority="265" operator="containsText" text="CAR">
      <formula>NOT(ISERROR(SEARCH(("CAR"),(P97))))</formula>
    </cfRule>
  </conditionalFormatting>
  <conditionalFormatting sqref="P97:P98">
    <cfRule type="containsText" dxfId="1" priority="266" operator="containsText" text="AGI">
      <formula>NOT(ISERROR(SEARCH(("AGI"),(P97))))</formula>
    </cfRule>
  </conditionalFormatting>
  <conditionalFormatting sqref="P97:P98">
    <cfRule type="containsText" dxfId="2" priority="267" operator="containsText" text="PER">
      <formula>NOT(ISERROR(SEARCH(("PER"),(P97))))</formula>
    </cfRule>
  </conditionalFormatting>
  <conditionalFormatting sqref="P97:P98">
    <cfRule type="containsText" dxfId="3" priority="268" operator="containsText" text="WIL">
      <formula>NOT(ISERROR(SEARCH(("WIL"),(P97))))</formula>
    </cfRule>
  </conditionalFormatting>
  <conditionalFormatting sqref="P97:P98">
    <cfRule type="containsText" dxfId="4" priority="269" operator="containsText" text="INT">
      <formula>NOT(ISERROR(SEARCH(("INT"),(P97))))</formula>
    </cfRule>
  </conditionalFormatting>
  <conditionalFormatting sqref="P97:P98">
    <cfRule type="containsText" dxfId="5" priority="270" operator="containsText" text="STR">
      <formula>NOT(ISERROR(SEARCH(("STR"),(P97))))</formula>
    </cfRule>
  </conditionalFormatting>
  <conditionalFormatting sqref="H85:H86">
    <cfRule type="containsText" dxfId="8" priority="271" operator="containsText" text="CAR">
      <formula>NOT(ISERROR(SEARCH(("CAR"),(H85))))</formula>
    </cfRule>
  </conditionalFormatting>
  <conditionalFormatting sqref="H85:H86">
    <cfRule type="containsText" dxfId="1" priority="272" operator="containsText" text="AGI">
      <formula>NOT(ISERROR(SEARCH(("AGI"),(H85))))</formula>
    </cfRule>
  </conditionalFormatting>
  <conditionalFormatting sqref="H85:H86">
    <cfRule type="containsText" dxfId="2" priority="273" operator="containsText" text="PER">
      <formula>NOT(ISERROR(SEARCH(("PER"),(H85))))</formula>
    </cfRule>
  </conditionalFormatting>
  <conditionalFormatting sqref="H85:H86">
    <cfRule type="containsText" dxfId="3" priority="274" operator="containsText" text="WIL">
      <formula>NOT(ISERROR(SEARCH(("WIL"),(H85))))</formula>
    </cfRule>
  </conditionalFormatting>
  <conditionalFormatting sqref="H85:H86">
    <cfRule type="containsText" dxfId="4" priority="275" operator="containsText" text="INT">
      <formula>NOT(ISERROR(SEARCH(("INT"),(H85))))</formula>
    </cfRule>
  </conditionalFormatting>
  <conditionalFormatting sqref="H85:H86">
    <cfRule type="containsText" dxfId="5" priority="276" operator="containsText" text="STR">
      <formula>NOT(ISERROR(SEARCH(("STR"),(H85))))</formula>
    </cfRule>
  </conditionalFormatting>
  <conditionalFormatting sqref="W75:W76">
    <cfRule type="containsText" dxfId="8" priority="277" operator="containsText" text="CAR">
      <formula>NOT(ISERROR(SEARCH(("CAR"),(W75))))</formula>
    </cfRule>
  </conditionalFormatting>
  <conditionalFormatting sqref="W75:W76">
    <cfRule type="containsText" dxfId="1" priority="278" operator="containsText" text="AGI">
      <formula>NOT(ISERROR(SEARCH(("AGI"),(W75))))</formula>
    </cfRule>
  </conditionalFormatting>
  <conditionalFormatting sqref="W75:W76">
    <cfRule type="containsText" dxfId="2" priority="279" operator="containsText" text="PER">
      <formula>NOT(ISERROR(SEARCH(("PER"),(W75))))</formula>
    </cfRule>
  </conditionalFormatting>
  <conditionalFormatting sqref="W75:W76">
    <cfRule type="containsText" dxfId="3" priority="280" operator="containsText" text="WIL">
      <formula>NOT(ISERROR(SEARCH(("WIL"),(W75))))</formula>
    </cfRule>
  </conditionalFormatting>
  <conditionalFormatting sqref="W75:W76">
    <cfRule type="containsText" dxfId="4" priority="281" operator="containsText" text="INT">
      <formula>NOT(ISERROR(SEARCH(("INT"),(W75))))</formula>
    </cfRule>
  </conditionalFormatting>
  <conditionalFormatting sqref="W75:W76">
    <cfRule type="containsText" dxfId="5" priority="282" operator="containsText" text="STR">
      <formula>NOT(ISERROR(SEARCH(("STR"),(W75))))</formula>
    </cfRule>
  </conditionalFormatting>
  <conditionalFormatting sqref="H69:H70">
    <cfRule type="containsText" dxfId="8" priority="283" operator="containsText" text="CAR">
      <formula>NOT(ISERROR(SEARCH(("CAR"),(H69))))</formula>
    </cfRule>
  </conditionalFormatting>
  <conditionalFormatting sqref="H69:H70">
    <cfRule type="containsText" dxfId="1" priority="284" operator="containsText" text="AGI">
      <formula>NOT(ISERROR(SEARCH(("AGI"),(H69))))</formula>
    </cfRule>
  </conditionalFormatting>
  <conditionalFormatting sqref="H69:H70">
    <cfRule type="containsText" dxfId="2" priority="285" operator="containsText" text="PER">
      <formula>NOT(ISERROR(SEARCH(("PER"),(H69))))</formula>
    </cfRule>
  </conditionalFormatting>
  <conditionalFormatting sqref="H69:H70">
    <cfRule type="containsText" dxfId="3" priority="286" operator="containsText" text="WIL">
      <formula>NOT(ISERROR(SEARCH(("WIL"),(H69))))</formula>
    </cfRule>
  </conditionalFormatting>
  <conditionalFormatting sqref="H69:H70">
    <cfRule type="containsText" dxfId="4" priority="287" operator="containsText" text="INT">
      <formula>NOT(ISERROR(SEARCH(("INT"),(H69))))</formula>
    </cfRule>
  </conditionalFormatting>
  <conditionalFormatting sqref="H69:H70">
    <cfRule type="containsText" dxfId="5" priority="288" operator="containsText" text="STR">
      <formula>NOT(ISERROR(SEARCH(("STR"),(H69))))</formula>
    </cfRule>
  </conditionalFormatting>
  <conditionalFormatting sqref="H97:H98">
    <cfRule type="containsText" dxfId="8" priority="289" operator="containsText" text="CAR">
      <formula>NOT(ISERROR(SEARCH(("CAR"),(H97))))</formula>
    </cfRule>
  </conditionalFormatting>
  <conditionalFormatting sqref="H97:H98">
    <cfRule type="containsText" dxfId="1" priority="290" operator="containsText" text="AGI">
      <formula>NOT(ISERROR(SEARCH(("AGI"),(H97))))</formula>
    </cfRule>
  </conditionalFormatting>
  <conditionalFormatting sqref="H97:H98">
    <cfRule type="containsText" dxfId="2" priority="291" operator="containsText" text="PER">
      <formula>NOT(ISERROR(SEARCH(("PER"),(H97))))</formula>
    </cfRule>
  </conditionalFormatting>
  <conditionalFormatting sqref="H97:H98">
    <cfRule type="containsText" dxfId="3" priority="292" operator="containsText" text="WIL">
      <formula>NOT(ISERROR(SEARCH(("WIL"),(H97))))</formula>
    </cfRule>
  </conditionalFormatting>
  <conditionalFormatting sqref="H97:H98">
    <cfRule type="containsText" dxfId="4" priority="293" operator="containsText" text="INT">
      <formula>NOT(ISERROR(SEARCH(("INT"),(H97))))</formula>
    </cfRule>
  </conditionalFormatting>
  <conditionalFormatting sqref="H97:H98">
    <cfRule type="containsText" dxfId="5" priority="294" operator="containsText" text="STR">
      <formula>NOT(ISERROR(SEARCH(("STR"),(H97))))</formula>
    </cfRule>
  </conditionalFormatting>
  <conditionalFormatting sqref="AB26">
    <cfRule type="containsText" dxfId="8" priority="295" operator="containsText" text="CAR">
      <formula>NOT(ISERROR(SEARCH(("CAR"),(AB26))))</formula>
    </cfRule>
  </conditionalFormatting>
  <conditionalFormatting sqref="AB26">
    <cfRule type="containsText" dxfId="1" priority="296" operator="containsText" text="AGI">
      <formula>NOT(ISERROR(SEARCH(("AGI"),(AB26))))</formula>
    </cfRule>
  </conditionalFormatting>
  <conditionalFormatting sqref="AB26">
    <cfRule type="containsText" dxfId="2" priority="297" operator="containsText" text="PER">
      <formula>NOT(ISERROR(SEARCH(("PER"),(AB26))))</formula>
    </cfRule>
  </conditionalFormatting>
  <conditionalFormatting sqref="AB26">
    <cfRule type="containsText" dxfId="3" priority="298" operator="containsText" text="WIL">
      <formula>NOT(ISERROR(SEARCH(("WIL"),(AB26))))</formula>
    </cfRule>
  </conditionalFormatting>
  <conditionalFormatting sqref="AB26">
    <cfRule type="containsText" dxfId="4" priority="299" operator="containsText" text="INT">
      <formula>NOT(ISERROR(SEARCH(("INT"),(AB26))))</formula>
    </cfRule>
  </conditionalFormatting>
  <conditionalFormatting sqref="AB26">
    <cfRule type="containsText" dxfId="5" priority="300" operator="containsText" text="STR">
      <formula>NOT(ISERROR(SEARCH(("STR"),(AB26))))</formula>
    </cfRule>
  </conditionalFormatting>
  <conditionalFormatting sqref="H93:H94">
    <cfRule type="containsText" dxfId="8" priority="301" operator="containsText" text="CAR">
      <formula>NOT(ISERROR(SEARCH(("CAR"),(H93))))</formula>
    </cfRule>
  </conditionalFormatting>
  <conditionalFormatting sqref="H93:H94">
    <cfRule type="containsText" dxfId="1" priority="302" operator="containsText" text="AGI">
      <formula>NOT(ISERROR(SEARCH(("AGI"),(H93))))</formula>
    </cfRule>
  </conditionalFormatting>
  <conditionalFormatting sqref="H93:H94">
    <cfRule type="containsText" dxfId="2" priority="303" operator="containsText" text="PER">
      <formula>NOT(ISERROR(SEARCH(("PER"),(H93))))</formula>
    </cfRule>
  </conditionalFormatting>
  <conditionalFormatting sqref="H93:H94">
    <cfRule type="containsText" dxfId="3" priority="304" operator="containsText" text="WIL">
      <formula>NOT(ISERROR(SEARCH(("WIL"),(H93))))</formula>
    </cfRule>
  </conditionalFormatting>
  <conditionalFormatting sqref="H93:H94">
    <cfRule type="containsText" dxfId="4" priority="305" operator="containsText" text="INT">
      <formula>NOT(ISERROR(SEARCH(("INT"),(H93))))</formula>
    </cfRule>
  </conditionalFormatting>
  <conditionalFormatting sqref="H93:H94">
    <cfRule type="containsText" dxfId="5" priority="306" operator="containsText" text="STR">
      <formula>NOT(ISERROR(SEARCH(("STR"),(H93))))</formula>
    </cfRule>
  </conditionalFormatting>
  <conditionalFormatting sqref="H87:H88">
    <cfRule type="containsText" dxfId="8" priority="307" operator="containsText" text="CAR">
      <formula>NOT(ISERROR(SEARCH(("CAR"),(H87))))</formula>
    </cfRule>
  </conditionalFormatting>
  <conditionalFormatting sqref="H87:H88">
    <cfRule type="containsText" dxfId="1" priority="308" operator="containsText" text="AGI">
      <formula>NOT(ISERROR(SEARCH(("AGI"),(H87))))</formula>
    </cfRule>
  </conditionalFormatting>
  <conditionalFormatting sqref="H87:H88">
    <cfRule type="containsText" dxfId="2" priority="309" operator="containsText" text="PER">
      <formula>NOT(ISERROR(SEARCH(("PER"),(H87))))</formula>
    </cfRule>
  </conditionalFormatting>
  <conditionalFormatting sqref="H87:H88">
    <cfRule type="containsText" dxfId="3" priority="310" operator="containsText" text="WIL">
      <formula>NOT(ISERROR(SEARCH(("WIL"),(H87))))</formula>
    </cfRule>
  </conditionalFormatting>
  <conditionalFormatting sqref="H87:H88">
    <cfRule type="containsText" dxfId="4" priority="311" operator="containsText" text="INT">
      <formula>NOT(ISERROR(SEARCH(("INT"),(H87))))</formula>
    </cfRule>
  </conditionalFormatting>
  <conditionalFormatting sqref="H87:H88">
    <cfRule type="containsText" dxfId="5" priority="312" operator="containsText" text="STR">
      <formula>NOT(ISERROR(SEARCH(("STR"),(H87))))</formula>
    </cfRule>
  </conditionalFormatting>
  <conditionalFormatting sqref="P69:P70">
    <cfRule type="containsText" dxfId="8" priority="313" operator="containsText" text="CAR">
      <formula>NOT(ISERROR(SEARCH(("CAR"),(P69))))</formula>
    </cfRule>
  </conditionalFormatting>
  <conditionalFormatting sqref="P69:P70">
    <cfRule type="containsText" dxfId="1" priority="314" operator="containsText" text="AGI">
      <formula>NOT(ISERROR(SEARCH(("AGI"),(P69))))</formula>
    </cfRule>
  </conditionalFormatting>
  <conditionalFormatting sqref="P69:P70">
    <cfRule type="containsText" dxfId="2" priority="315" operator="containsText" text="PER">
      <formula>NOT(ISERROR(SEARCH(("PER"),(P69))))</formula>
    </cfRule>
  </conditionalFormatting>
  <conditionalFormatting sqref="P69:P70">
    <cfRule type="containsText" dxfId="3" priority="316" operator="containsText" text="WIL">
      <formula>NOT(ISERROR(SEARCH(("WIL"),(P69))))</formula>
    </cfRule>
  </conditionalFormatting>
  <conditionalFormatting sqref="P69:P70">
    <cfRule type="containsText" dxfId="4" priority="317" operator="containsText" text="INT">
      <formula>NOT(ISERROR(SEARCH(("INT"),(P69))))</formula>
    </cfRule>
  </conditionalFormatting>
  <conditionalFormatting sqref="P69:P70">
    <cfRule type="containsText" dxfId="5" priority="318" operator="containsText" text="STR">
      <formula>NOT(ISERROR(SEARCH(("STR"),(P69))))</formula>
    </cfRule>
  </conditionalFormatting>
  <conditionalFormatting sqref="W110:W111">
    <cfRule type="containsText" dxfId="8" priority="319" operator="containsText" text="CAR">
      <formula>NOT(ISERROR(SEARCH(("CAR"),(W110))))</formula>
    </cfRule>
  </conditionalFormatting>
  <conditionalFormatting sqref="W110:W111">
    <cfRule type="containsText" dxfId="1" priority="320" operator="containsText" text="AGI">
      <formula>NOT(ISERROR(SEARCH(("AGI"),(W110))))</formula>
    </cfRule>
  </conditionalFormatting>
  <conditionalFormatting sqref="W110:W111">
    <cfRule type="containsText" dxfId="2" priority="321" operator="containsText" text="PER">
      <formula>NOT(ISERROR(SEARCH(("PER"),(W110))))</formula>
    </cfRule>
  </conditionalFormatting>
  <conditionalFormatting sqref="W110:W111">
    <cfRule type="containsText" dxfId="3" priority="322" operator="containsText" text="WIL">
      <formula>NOT(ISERROR(SEARCH(("WIL"),(W110))))</formula>
    </cfRule>
  </conditionalFormatting>
  <conditionalFormatting sqref="W110:W111">
    <cfRule type="containsText" dxfId="4" priority="323" operator="containsText" text="INT">
      <formula>NOT(ISERROR(SEARCH(("INT"),(W110))))</formula>
    </cfRule>
  </conditionalFormatting>
  <conditionalFormatting sqref="W110:W111">
    <cfRule type="containsText" dxfId="5" priority="324" operator="containsText" text="STR">
      <formula>NOT(ISERROR(SEARCH(("STR"),(W110))))</formula>
    </cfRule>
  </conditionalFormatting>
  <conditionalFormatting sqref="H61:H62">
    <cfRule type="containsText" dxfId="8" priority="325" operator="containsText" text="CAR">
      <formula>NOT(ISERROR(SEARCH(("CAR"),(H61))))</formula>
    </cfRule>
  </conditionalFormatting>
  <conditionalFormatting sqref="H61:H62">
    <cfRule type="containsText" dxfId="1" priority="326" operator="containsText" text="AGI">
      <formula>NOT(ISERROR(SEARCH(("AGI"),(H61))))</formula>
    </cfRule>
  </conditionalFormatting>
  <conditionalFormatting sqref="H61:H62">
    <cfRule type="containsText" dxfId="2" priority="327" operator="containsText" text="PER">
      <formula>NOT(ISERROR(SEARCH(("PER"),(H61))))</formula>
    </cfRule>
  </conditionalFormatting>
  <conditionalFormatting sqref="H61:H62">
    <cfRule type="containsText" dxfId="3" priority="328" operator="containsText" text="WIL">
      <formula>NOT(ISERROR(SEARCH(("WIL"),(H61))))</formula>
    </cfRule>
  </conditionalFormatting>
  <conditionalFormatting sqref="H61:H62">
    <cfRule type="containsText" dxfId="4" priority="329" operator="containsText" text="INT">
      <formula>NOT(ISERROR(SEARCH(("INT"),(H61))))</formula>
    </cfRule>
  </conditionalFormatting>
  <conditionalFormatting sqref="H61:H62">
    <cfRule type="containsText" dxfId="5" priority="330" operator="containsText" text="STR">
      <formula>NOT(ISERROR(SEARCH(("STR"),(H61))))</formula>
    </cfRule>
  </conditionalFormatting>
  <conditionalFormatting sqref="P107:P108">
    <cfRule type="containsText" dxfId="8" priority="331" operator="containsText" text="CAR">
      <formula>NOT(ISERROR(SEARCH(("CAR"),(P107))))</formula>
    </cfRule>
  </conditionalFormatting>
  <conditionalFormatting sqref="P107:P108">
    <cfRule type="containsText" dxfId="1" priority="332" operator="containsText" text="AGI">
      <formula>NOT(ISERROR(SEARCH(("AGI"),(P107))))</formula>
    </cfRule>
  </conditionalFormatting>
  <conditionalFormatting sqref="P107:P108">
    <cfRule type="containsText" dxfId="2" priority="333" operator="containsText" text="PER">
      <formula>NOT(ISERROR(SEARCH(("PER"),(P107))))</formula>
    </cfRule>
  </conditionalFormatting>
  <conditionalFormatting sqref="P107:P108">
    <cfRule type="containsText" dxfId="3" priority="334" operator="containsText" text="WIL">
      <formula>NOT(ISERROR(SEARCH(("WIL"),(P107))))</formula>
    </cfRule>
  </conditionalFormatting>
  <conditionalFormatting sqref="P107:P108">
    <cfRule type="containsText" dxfId="4" priority="335" operator="containsText" text="INT">
      <formula>NOT(ISERROR(SEARCH(("INT"),(P107))))</formula>
    </cfRule>
  </conditionalFormatting>
  <conditionalFormatting sqref="P107:P108">
    <cfRule type="containsText" dxfId="5" priority="336" operator="containsText" text="STR">
      <formula>NOT(ISERROR(SEARCH(("STR"),(P107))))</formula>
    </cfRule>
  </conditionalFormatting>
  <conditionalFormatting sqref="P73:P74">
    <cfRule type="containsText" dxfId="8" priority="337" operator="containsText" text="CAR">
      <formula>NOT(ISERROR(SEARCH(("CAR"),(P73))))</formula>
    </cfRule>
  </conditionalFormatting>
  <conditionalFormatting sqref="P73:P74">
    <cfRule type="containsText" dxfId="1" priority="338" operator="containsText" text="AGI">
      <formula>NOT(ISERROR(SEARCH(("AGI"),(P73))))</formula>
    </cfRule>
  </conditionalFormatting>
  <conditionalFormatting sqref="P73:P74">
    <cfRule type="containsText" dxfId="2" priority="339" operator="containsText" text="PER">
      <formula>NOT(ISERROR(SEARCH(("PER"),(P73))))</formula>
    </cfRule>
  </conditionalFormatting>
  <conditionalFormatting sqref="P73:P74">
    <cfRule type="containsText" dxfId="3" priority="340" operator="containsText" text="WIL">
      <formula>NOT(ISERROR(SEARCH(("WIL"),(P73))))</formula>
    </cfRule>
  </conditionalFormatting>
  <conditionalFormatting sqref="P73:P74">
    <cfRule type="containsText" dxfId="4" priority="341" operator="containsText" text="INT">
      <formula>NOT(ISERROR(SEARCH(("INT"),(P73))))</formula>
    </cfRule>
  </conditionalFormatting>
  <conditionalFormatting sqref="P73:P74">
    <cfRule type="containsText" dxfId="5" priority="342" operator="containsText" text="STR">
      <formula>NOT(ISERROR(SEARCH(("STR"),(P73))))</formula>
    </cfRule>
  </conditionalFormatting>
  <conditionalFormatting sqref="P114:P115">
    <cfRule type="containsText" dxfId="8" priority="343" operator="containsText" text="CAR">
      <formula>NOT(ISERROR(SEARCH(("CAR"),(P114))))</formula>
    </cfRule>
  </conditionalFormatting>
  <conditionalFormatting sqref="P114:P115">
    <cfRule type="containsText" dxfId="1" priority="344" operator="containsText" text="AGI">
      <formula>NOT(ISERROR(SEARCH(("AGI"),(P114))))</formula>
    </cfRule>
  </conditionalFormatting>
  <conditionalFormatting sqref="P114:P115">
    <cfRule type="containsText" dxfId="2" priority="345" operator="containsText" text="PER">
      <formula>NOT(ISERROR(SEARCH(("PER"),(P114))))</formula>
    </cfRule>
  </conditionalFormatting>
  <conditionalFormatting sqref="P114:P115">
    <cfRule type="containsText" dxfId="3" priority="346" operator="containsText" text="WIL">
      <formula>NOT(ISERROR(SEARCH(("WIL"),(P114))))</formula>
    </cfRule>
  </conditionalFormatting>
  <conditionalFormatting sqref="P114:P115">
    <cfRule type="containsText" dxfId="4" priority="347" operator="containsText" text="INT">
      <formula>NOT(ISERROR(SEARCH(("INT"),(P114))))</formula>
    </cfRule>
  </conditionalFormatting>
  <conditionalFormatting sqref="P114:P115">
    <cfRule type="containsText" dxfId="5" priority="348" operator="containsText" text="STR">
      <formula>NOT(ISERROR(SEARCH(("STR"),(P114))))</formula>
    </cfRule>
  </conditionalFormatting>
  <conditionalFormatting sqref="AB64">
    <cfRule type="containsText" dxfId="8" priority="349" operator="containsText" text="CAR">
      <formula>NOT(ISERROR(SEARCH(("CAR"),(AB64))))</formula>
    </cfRule>
  </conditionalFormatting>
  <conditionalFormatting sqref="AB64">
    <cfRule type="containsText" dxfId="1" priority="350" operator="containsText" text="AGI">
      <formula>NOT(ISERROR(SEARCH(("AGI"),(AB64))))</formula>
    </cfRule>
  </conditionalFormatting>
  <conditionalFormatting sqref="AB64">
    <cfRule type="containsText" dxfId="2" priority="351" operator="containsText" text="PER">
      <formula>NOT(ISERROR(SEARCH(("PER"),(AB64))))</formula>
    </cfRule>
  </conditionalFormatting>
  <conditionalFormatting sqref="AB64">
    <cfRule type="containsText" dxfId="3" priority="352" operator="containsText" text="WIL">
      <formula>NOT(ISERROR(SEARCH(("WIL"),(AB64))))</formula>
    </cfRule>
  </conditionalFormatting>
  <conditionalFormatting sqref="AB64">
    <cfRule type="containsText" dxfId="4" priority="353" operator="containsText" text="INT">
      <formula>NOT(ISERROR(SEARCH(("INT"),(AB64))))</formula>
    </cfRule>
  </conditionalFormatting>
  <conditionalFormatting sqref="AB64">
    <cfRule type="containsText" dxfId="5" priority="354" operator="containsText" text="STR">
      <formula>NOT(ISERROR(SEARCH(("STR"),(AB64))))</formula>
    </cfRule>
  </conditionalFormatting>
  <conditionalFormatting sqref="H95:H96">
    <cfRule type="containsText" dxfId="8" priority="355" operator="containsText" text="CAR">
      <formula>NOT(ISERROR(SEARCH(("CAR"),(H95))))</formula>
    </cfRule>
  </conditionalFormatting>
  <conditionalFormatting sqref="H95:H96">
    <cfRule type="containsText" dxfId="1" priority="356" operator="containsText" text="AGI">
      <formula>NOT(ISERROR(SEARCH(("AGI"),(H95))))</formula>
    </cfRule>
  </conditionalFormatting>
  <conditionalFormatting sqref="H95:H96">
    <cfRule type="containsText" dxfId="2" priority="357" operator="containsText" text="PER">
      <formula>NOT(ISERROR(SEARCH(("PER"),(H95))))</formula>
    </cfRule>
  </conditionalFormatting>
  <conditionalFormatting sqref="H95:H96">
    <cfRule type="containsText" dxfId="3" priority="358" operator="containsText" text="WIL">
      <formula>NOT(ISERROR(SEARCH(("WIL"),(H95))))</formula>
    </cfRule>
  </conditionalFormatting>
  <conditionalFormatting sqref="H95:H96">
    <cfRule type="containsText" dxfId="4" priority="359" operator="containsText" text="INT">
      <formula>NOT(ISERROR(SEARCH(("INT"),(H95))))</formula>
    </cfRule>
  </conditionalFormatting>
  <conditionalFormatting sqref="H95:H96">
    <cfRule type="containsText" dxfId="5" priority="360" operator="containsText" text="STR">
      <formula>NOT(ISERROR(SEARCH(("STR"),(H95))))</formula>
    </cfRule>
  </conditionalFormatting>
  <conditionalFormatting sqref="H71:H72">
    <cfRule type="containsText" dxfId="8" priority="361" operator="containsText" text="CAR">
      <formula>NOT(ISERROR(SEARCH(("CAR"),(H71))))</formula>
    </cfRule>
  </conditionalFormatting>
  <conditionalFormatting sqref="H71:H72">
    <cfRule type="containsText" dxfId="1" priority="362" operator="containsText" text="AGI">
      <formula>NOT(ISERROR(SEARCH(("AGI"),(H71))))</formula>
    </cfRule>
  </conditionalFormatting>
  <conditionalFormatting sqref="H71:H72">
    <cfRule type="containsText" dxfId="2" priority="363" operator="containsText" text="PER">
      <formula>NOT(ISERROR(SEARCH(("PER"),(H71))))</formula>
    </cfRule>
  </conditionalFormatting>
  <conditionalFormatting sqref="H71:H72">
    <cfRule type="containsText" dxfId="3" priority="364" operator="containsText" text="WIL">
      <formula>NOT(ISERROR(SEARCH(("WIL"),(H71))))</formula>
    </cfRule>
  </conditionalFormatting>
  <conditionalFormatting sqref="H71:H72">
    <cfRule type="containsText" dxfId="4" priority="365" operator="containsText" text="INT">
      <formula>NOT(ISERROR(SEARCH(("INT"),(H71))))</formula>
    </cfRule>
  </conditionalFormatting>
  <conditionalFormatting sqref="H71:H72">
    <cfRule type="containsText" dxfId="5" priority="366" operator="containsText" text="STR">
      <formula>NOT(ISERROR(SEARCH(("STR"),(H71))))</formula>
    </cfRule>
  </conditionalFormatting>
  <conditionalFormatting sqref="W79:W80">
    <cfRule type="containsText" dxfId="8" priority="367" operator="containsText" text="CAR">
      <formula>NOT(ISERROR(SEARCH(("CAR"),(W79))))</formula>
    </cfRule>
  </conditionalFormatting>
  <conditionalFormatting sqref="W79:W80">
    <cfRule type="containsText" dxfId="1" priority="368" operator="containsText" text="AGI">
      <formula>NOT(ISERROR(SEARCH(("AGI"),(W79))))</formula>
    </cfRule>
  </conditionalFormatting>
  <conditionalFormatting sqref="W79:W80">
    <cfRule type="containsText" dxfId="2" priority="369" operator="containsText" text="PER">
      <formula>NOT(ISERROR(SEARCH(("PER"),(W79))))</formula>
    </cfRule>
  </conditionalFormatting>
  <conditionalFormatting sqref="W79:W80">
    <cfRule type="containsText" dxfId="3" priority="370" operator="containsText" text="WIL">
      <formula>NOT(ISERROR(SEARCH(("WIL"),(W79))))</formula>
    </cfRule>
  </conditionalFormatting>
  <conditionalFormatting sqref="W79:W80">
    <cfRule type="containsText" dxfId="4" priority="371" operator="containsText" text="INT">
      <formula>NOT(ISERROR(SEARCH(("INT"),(W79))))</formula>
    </cfRule>
  </conditionalFormatting>
  <conditionalFormatting sqref="W79:W80">
    <cfRule type="containsText" dxfId="5" priority="372" operator="containsText" text="STR">
      <formula>NOT(ISERROR(SEARCH(("STR"),(W79))))</formula>
    </cfRule>
  </conditionalFormatting>
  <conditionalFormatting sqref="P83:P84">
    <cfRule type="containsText" dxfId="8" priority="373" operator="containsText" text="CAR">
      <formula>NOT(ISERROR(SEARCH(("CAR"),(P83))))</formula>
    </cfRule>
  </conditionalFormatting>
  <conditionalFormatting sqref="P83:P84">
    <cfRule type="containsText" dxfId="1" priority="374" operator="containsText" text="AGI">
      <formula>NOT(ISERROR(SEARCH(("AGI"),(P83))))</formula>
    </cfRule>
  </conditionalFormatting>
  <conditionalFormatting sqref="P83:P84">
    <cfRule type="containsText" dxfId="2" priority="375" operator="containsText" text="PER">
      <formula>NOT(ISERROR(SEARCH(("PER"),(P83))))</formula>
    </cfRule>
  </conditionalFormatting>
  <conditionalFormatting sqref="P83:P84">
    <cfRule type="containsText" dxfId="3" priority="376" operator="containsText" text="WIL">
      <formula>NOT(ISERROR(SEARCH(("WIL"),(P83))))</formula>
    </cfRule>
  </conditionalFormatting>
  <conditionalFormatting sqref="P83:P84">
    <cfRule type="containsText" dxfId="4" priority="377" operator="containsText" text="INT">
      <formula>NOT(ISERROR(SEARCH(("INT"),(P83))))</formula>
    </cfRule>
  </conditionalFormatting>
  <conditionalFormatting sqref="P83:P84">
    <cfRule type="containsText" dxfId="5" priority="378" operator="containsText" text="STR">
      <formula>NOT(ISERROR(SEARCH(("STR"),(P83))))</formula>
    </cfRule>
  </conditionalFormatting>
  <conditionalFormatting sqref="R61:R62">
    <cfRule type="containsText" dxfId="8" priority="379" operator="containsText" text="CAR">
      <formula>NOT(ISERROR(SEARCH(("CAR"),(R61))))</formula>
    </cfRule>
  </conditionalFormatting>
  <conditionalFormatting sqref="R61:R62">
    <cfRule type="containsText" dxfId="1" priority="380" operator="containsText" text="AGI">
      <formula>NOT(ISERROR(SEARCH(("AGI"),(R61))))</formula>
    </cfRule>
  </conditionalFormatting>
  <conditionalFormatting sqref="R61:R62">
    <cfRule type="containsText" dxfId="2" priority="381" operator="containsText" text="PER">
      <formula>NOT(ISERROR(SEARCH(("PER"),(R61))))</formula>
    </cfRule>
  </conditionalFormatting>
  <conditionalFormatting sqref="R61:R62">
    <cfRule type="containsText" dxfId="3" priority="382" operator="containsText" text="WIL">
      <formula>NOT(ISERROR(SEARCH(("WIL"),(R61))))</formula>
    </cfRule>
  </conditionalFormatting>
  <conditionalFormatting sqref="R61:R62">
    <cfRule type="containsText" dxfId="4" priority="383" operator="containsText" text="INT">
      <formula>NOT(ISERROR(SEARCH(("INT"),(R61))))</formula>
    </cfRule>
  </conditionalFormatting>
  <conditionalFormatting sqref="R61:R62">
    <cfRule type="containsText" dxfId="5" priority="384" operator="containsText" text="STR">
      <formula>NOT(ISERROR(SEARCH(("STR"),(R61))))</formula>
    </cfRule>
  </conditionalFormatting>
  <conditionalFormatting sqref="AB25">
    <cfRule type="containsText" dxfId="8" priority="385" operator="containsText" text="CAR">
      <formula>NOT(ISERROR(SEARCH(("CAR"),(AB25))))</formula>
    </cfRule>
  </conditionalFormatting>
  <conditionalFormatting sqref="AB25">
    <cfRule type="containsText" dxfId="1" priority="386" operator="containsText" text="AGI">
      <formula>NOT(ISERROR(SEARCH(("AGI"),(AB25))))</formula>
    </cfRule>
  </conditionalFormatting>
  <conditionalFormatting sqref="AB25">
    <cfRule type="containsText" dxfId="2" priority="387" operator="containsText" text="PER">
      <formula>NOT(ISERROR(SEARCH(("PER"),(AB25))))</formula>
    </cfRule>
  </conditionalFormatting>
  <conditionalFormatting sqref="AB25">
    <cfRule type="containsText" dxfId="3" priority="388" operator="containsText" text="WIL">
      <formula>NOT(ISERROR(SEARCH(("WIL"),(AB25))))</formula>
    </cfRule>
  </conditionalFormatting>
  <conditionalFormatting sqref="AB25">
    <cfRule type="containsText" dxfId="4" priority="389" operator="containsText" text="INT">
      <formula>NOT(ISERROR(SEARCH(("INT"),(AB25))))</formula>
    </cfRule>
  </conditionalFormatting>
  <conditionalFormatting sqref="AB25">
    <cfRule type="containsText" dxfId="5" priority="390" operator="containsText" text="STR">
      <formula>NOT(ISERROR(SEARCH(("STR"),(AB25))))</formula>
    </cfRule>
  </conditionalFormatting>
  <conditionalFormatting sqref="R9:R10">
    <cfRule type="containsText" dxfId="8" priority="391" operator="containsText" text="CAR">
      <formula>NOT(ISERROR(SEARCH(("CAR"),(R9))))</formula>
    </cfRule>
  </conditionalFormatting>
  <conditionalFormatting sqref="R9:R10">
    <cfRule type="containsText" dxfId="1" priority="392" operator="containsText" text="AGI">
      <formula>NOT(ISERROR(SEARCH(("AGI"),(R9))))</formula>
    </cfRule>
  </conditionalFormatting>
  <conditionalFormatting sqref="R9:R10">
    <cfRule type="containsText" dxfId="2" priority="393" operator="containsText" text="PER">
      <formula>NOT(ISERROR(SEARCH(("PER"),(R9))))</formula>
    </cfRule>
  </conditionalFormatting>
  <conditionalFormatting sqref="R9:R10">
    <cfRule type="containsText" dxfId="3" priority="394" operator="containsText" text="WIL">
      <formula>NOT(ISERROR(SEARCH(("WIL"),(R9))))</formula>
    </cfRule>
  </conditionalFormatting>
  <conditionalFormatting sqref="R9:R10">
    <cfRule type="containsText" dxfId="4" priority="395" operator="containsText" text="INT">
      <formula>NOT(ISERROR(SEARCH(("INT"),(R9))))</formula>
    </cfRule>
  </conditionalFormatting>
  <conditionalFormatting sqref="R9:R10">
    <cfRule type="containsText" dxfId="5" priority="396" operator="containsText" text="STR">
      <formula>NOT(ISERROR(SEARCH(("STR"),(R9))))</formula>
    </cfRule>
  </conditionalFormatting>
  <conditionalFormatting sqref="R37:R38">
    <cfRule type="containsText" dxfId="8" priority="397" operator="containsText" text="CAR">
      <formula>NOT(ISERROR(SEARCH(("CAR"),(R37))))</formula>
    </cfRule>
  </conditionalFormatting>
  <conditionalFormatting sqref="R37:R38">
    <cfRule type="containsText" dxfId="1" priority="398" operator="containsText" text="AGI">
      <formula>NOT(ISERROR(SEARCH(("AGI"),(R37))))</formula>
    </cfRule>
  </conditionalFormatting>
  <conditionalFormatting sqref="R37:R38">
    <cfRule type="containsText" dxfId="2" priority="399" operator="containsText" text="PER">
      <formula>NOT(ISERROR(SEARCH(("PER"),(R37))))</formula>
    </cfRule>
  </conditionalFormatting>
  <conditionalFormatting sqref="R37:R38">
    <cfRule type="containsText" dxfId="3" priority="400" operator="containsText" text="WIL">
      <formula>NOT(ISERROR(SEARCH(("WIL"),(R37))))</formula>
    </cfRule>
  </conditionalFormatting>
  <conditionalFormatting sqref="R37:R38">
    <cfRule type="containsText" dxfId="4" priority="401" operator="containsText" text="INT">
      <formula>NOT(ISERROR(SEARCH(("INT"),(R37))))</formula>
    </cfRule>
  </conditionalFormatting>
  <conditionalFormatting sqref="R37:R38">
    <cfRule type="containsText" dxfId="5" priority="402" operator="containsText" text="STR">
      <formula>NOT(ISERROR(SEARCH(("STR"),(R37))))</formula>
    </cfRule>
  </conditionalFormatting>
  <conditionalFormatting sqref="R31:R32">
    <cfRule type="containsText" dxfId="8" priority="403" operator="containsText" text="CAR">
      <formula>NOT(ISERROR(SEARCH(("CAR"),(R31))))</formula>
    </cfRule>
  </conditionalFormatting>
  <conditionalFormatting sqref="R31:R32">
    <cfRule type="containsText" dxfId="1" priority="404" operator="containsText" text="AGI">
      <formula>NOT(ISERROR(SEARCH(("AGI"),(R31))))</formula>
    </cfRule>
  </conditionalFormatting>
  <conditionalFormatting sqref="R31:R32">
    <cfRule type="containsText" dxfId="2" priority="405" operator="containsText" text="PER">
      <formula>NOT(ISERROR(SEARCH(("PER"),(R31))))</formula>
    </cfRule>
  </conditionalFormatting>
  <conditionalFormatting sqref="R31:R32">
    <cfRule type="containsText" dxfId="3" priority="406" operator="containsText" text="WIL">
      <formula>NOT(ISERROR(SEARCH(("WIL"),(R31))))</formula>
    </cfRule>
  </conditionalFormatting>
  <conditionalFormatting sqref="R31:R32">
    <cfRule type="containsText" dxfId="4" priority="407" operator="containsText" text="INT">
      <formula>NOT(ISERROR(SEARCH(("INT"),(R31))))</formula>
    </cfRule>
  </conditionalFormatting>
  <conditionalFormatting sqref="R31:R32">
    <cfRule type="containsText" dxfId="5" priority="408" operator="containsText" text="STR">
      <formula>NOT(ISERROR(SEARCH(("STR"),(R31))))</formula>
    </cfRule>
  </conditionalFormatting>
  <conditionalFormatting sqref="P85:P86">
    <cfRule type="containsText" dxfId="8" priority="409" operator="containsText" text="CAR">
      <formula>NOT(ISERROR(SEARCH(("CAR"),(P85))))</formula>
    </cfRule>
  </conditionalFormatting>
  <conditionalFormatting sqref="P85:P86">
    <cfRule type="containsText" dxfId="1" priority="410" operator="containsText" text="AGI">
      <formula>NOT(ISERROR(SEARCH(("AGI"),(P85))))</formula>
    </cfRule>
  </conditionalFormatting>
  <conditionalFormatting sqref="P85:P86">
    <cfRule type="containsText" dxfId="2" priority="411" operator="containsText" text="PER">
      <formula>NOT(ISERROR(SEARCH(("PER"),(P85))))</formula>
    </cfRule>
  </conditionalFormatting>
  <conditionalFormatting sqref="P85:P86">
    <cfRule type="containsText" dxfId="3" priority="412" operator="containsText" text="WIL">
      <formula>NOT(ISERROR(SEARCH(("WIL"),(P85))))</formula>
    </cfRule>
  </conditionalFormatting>
  <conditionalFormatting sqref="P85:P86">
    <cfRule type="containsText" dxfId="4" priority="413" operator="containsText" text="INT">
      <formula>NOT(ISERROR(SEARCH(("INT"),(P85))))</formula>
    </cfRule>
  </conditionalFormatting>
  <conditionalFormatting sqref="P85:P86">
    <cfRule type="containsText" dxfId="5" priority="414" operator="containsText" text="STR">
      <formula>NOT(ISERROR(SEARCH(("STR"),(P85))))</formula>
    </cfRule>
  </conditionalFormatting>
  <conditionalFormatting sqref="H11:H12">
    <cfRule type="containsText" dxfId="8" priority="415" operator="containsText" text="CAR">
      <formula>NOT(ISERROR(SEARCH(("CAR"),(H11))))</formula>
    </cfRule>
  </conditionalFormatting>
  <conditionalFormatting sqref="H11:H12">
    <cfRule type="containsText" dxfId="1" priority="416" operator="containsText" text="AGI">
      <formula>NOT(ISERROR(SEARCH(("AGI"),(H11))))</formula>
    </cfRule>
  </conditionalFormatting>
  <conditionalFormatting sqref="H11:H12">
    <cfRule type="containsText" dxfId="2" priority="417" operator="containsText" text="PER">
      <formula>NOT(ISERROR(SEARCH(("PER"),(H11))))</formula>
    </cfRule>
  </conditionalFormatting>
  <conditionalFormatting sqref="H11:H12">
    <cfRule type="containsText" dxfId="3" priority="418" operator="containsText" text="WIL">
      <formula>NOT(ISERROR(SEARCH(("WIL"),(H11))))</formula>
    </cfRule>
  </conditionalFormatting>
  <conditionalFormatting sqref="H11:H12">
    <cfRule type="containsText" dxfId="4" priority="419" operator="containsText" text="INT">
      <formula>NOT(ISERROR(SEARCH(("INT"),(H11))))</formula>
    </cfRule>
  </conditionalFormatting>
  <conditionalFormatting sqref="H11:H12">
    <cfRule type="containsText" dxfId="5" priority="420" operator="containsText" text="STR">
      <formula>NOT(ISERROR(SEARCH(("STR"),(H11))))</formula>
    </cfRule>
  </conditionalFormatting>
  <conditionalFormatting sqref="H79:H80">
    <cfRule type="containsText" dxfId="8" priority="421" operator="containsText" text="CAR">
      <formula>NOT(ISERROR(SEARCH(("CAR"),(H79))))</formula>
    </cfRule>
  </conditionalFormatting>
  <conditionalFormatting sqref="H79:H80">
    <cfRule type="containsText" dxfId="1" priority="422" operator="containsText" text="AGI">
      <formula>NOT(ISERROR(SEARCH(("AGI"),(H79))))</formula>
    </cfRule>
  </conditionalFormatting>
  <conditionalFormatting sqref="H79:H80">
    <cfRule type="containsText" dxfId="2" priority="423" operator="containsText" text="PER">
      <formula>NOT(ISERROR(SEARCH(("PER"),(H79))))</formula>
    </cfRule>
  </conditionalFormatting>
  <conditionalFormatting sqref="H79:H80">
    <cfRule type="containsText" dxfId="3" priority="424" operator="containsText" text="WIL">
      <formula>NOT(ISERROR(SEARCH(("WIL"),(H79))))</formula>
    </cfRule>
  </conditionalFormatting>
  <conditionalFormatting sqref="H79:H80">
    <cfRule type="containsText" dxfId="4" priority="425" operator="containsText" text="INT">
      <formula>NOT(ISERROR(SEARCH(("INT"),(H79))))</formula>
    </cfRule>
  </conditionalFormatting>
  <conditionalFormatting sqref="H79:H80">
    <cfRule type="containsText" dxfId="5" priority="426" operator="containsText" text="STR">
      <formula>NOT(ISERROR(SEARCH(("STR"),(H79))))</formula>
    </cfRule>
  </conditionalFormatting>
  <conditionalFormatting sqref="H103:H104">
    <cfRule type="containsText" dxfId="8" priority="427" operator="containsText" text="CAR">
      <formula>NOT(ISERROR(SEARCH(("CAR"),(H103))))</formula>
    </cfRule>
  </conditionalFormatting>
  <conditionalFormatting sqref="H103:H104">
    <cfRule type="containsText" dxfId="1" priority="428" operator="containsText" text="AGI">
      <formula>NOT(ISERROR(SEARCH(("AGI"),(H103))))</formula>
    </cfRule>
  </conditionalFormatting>
  <conditionalFormatting sqref="H103:H104">
    <cfRule type="containsText" dxfId="2" priority="429" operator="containsText" text="PER">
      <formula>NOT(ISERROR(SEARCH(("PER"),(H103))))</formula>
    </cfRule>
  </conditionalFormatting>
  <conditionalFormatting sqref="H103:H104">
    <cfRule type="containsText" dxfId="3" priority="430" operator="containsText" text="WIL">
      <formula>NOT(ISERROR(SEARCH(("WIL"),(H103))))</formula>
    </cfRule>
  </conditionalFormatting>
  <conditionalFormatting sqref="H103:H104">
    <cfRule type="containsText" dxfId="4" priority="431" operator="containsText" text="INT">
      <formula>NOT(ISERROR(SEARCH(("INT"),(H103))))</formula>
    </cfRule>
  </conditionalFormatting>
  <conditionalFormatting sqref="H103:H104">
    <cfRule type="containsText" dxfId="5" priority="432" operator="containsText" text="STR">
      <formula>NOT(ISERROR(SEARCH(("STR"),(H103))))</formula>
    </cfRule>
  </conditionalFormatting>
  <conditionalFormatting sqref="AB29">
    <cfRule type="containsText" dxfId="8" priority="433" operator="containsText" text="CAR">
      <formula>NOT(ISERROR(SEARCH(("CAR"),(AB29))))</formula>
    </cfRule>
  </conditionalFormatting>
  <conditionalFormatting sqref="AB29">
    <cfRule type="containsText" dxfId="1" priority="434" operator="containsText" text="AGI">
      <formula>NOT(ISERROR(SEARCH(("AGI"),(AB29))))</formula>
    </cfRule>
  </conditionalFormatting>
  <conditionalFormatting sqref="AB29">
    <cfRule type="containsText" dxfId="2" priority="435" operator="containsText" text="PER">
      <formula>NOT(ISERROR(SEARCH(("PER"),(AB29))))</formula>
    </cfRule>
  </conditionalFormatting>
  <conditionalFormatting sqref="AB29">
    <cfRule type="containsText" dxfId="3" priority="436" operator="containsText" text="WIL">
      <formula>NOT(ISERROR(SEARCH(("WIL"),(AB29))))</formula>
    </cfRule>
  </conditionalFormatting>
  <conditionalFormatting sqref="AB29">
    <cfRule type="containsText" dxfId="4" priority="437" operator="containsText" text="INT">
      <formula>NOT(ISERROR(SEARCH(("INT"),(AB29))))</formula>
    </cfRule>
  </conditionalFormatting>
  <conditionalFormatting sqref="AB29">
    <cfRule type="containsText" dxfId="5" priority="438" operator="containsText" text="STR">
      <formula>NOT(ISERROR(SEARCH(("STR"),(AB29))))</formula>
    </cfRule>
  </conditionalFormatting>
  <conditionalFormatting sqref="AB65">
    <cfRule type="containsText" dxfId="8" priority="439" operator="containsText" text="CAR">
      <formula>NOT(ISERROR(SEARCH(("CAR"),(AB65))))</formula>
    </cfRule>
  </conditionalFormatting>
  <conditionalFormatting sqref="AB65">
    <cfRule type="containsText" dxfId="1" priority="440" operator="containsText" text="AGI">
      <formula>NOT(ISERROR(SEARCH(("AGI"),(AB65))))</formula>
    </cfRule>
  </conditionalFormatting>
  <conditionalFormatting sqref="AB65">
    <cfRule type="containsText" dxfId="2" priority="441" operator="containsText" text="PER">
      <formula>NOT(ISERROR(SEARCH(("PER"),(AB65))))</formula>
    </cfRule>
  </conditionalFormatting>
  <conditionalFormatting sqref="AB65">
    <cfRule type="containsText" dxfId="3" priority="442" operator="containsText" text="WIL">
      <formula>NOT(ISERROR(SEARCH(("WIL"),(AB65))))</formula>
    </cfRule>
  </conditionalFormatting>
  <conditionalFormatting sqref="AB65">
    <cfRule type="containsText" dxfId="4" priority="443" operator="containsText" text="INT">
      <formula>NOT(ISERROR(SEARCH(("INT"),(AB65))))</formula>
    </cfRule>
  </conditionalFormatting>
  <conditionalFormatting sqref="AB65">
    <cfRule type="containsText" dxfId="5" priority="444" operator="containsText" text="STR">
      <formula>NOT(ISERROR(SEARCH(("STR"),(AB65))))</formula>
    </cfRule>
  </conditionalFormatting>
  <conditionalFormatting sqref="AN27:AN28 AN30:AN63">
    <cfRule type="containsText" dxfId="8" priority="445" operator="containsText" text="CAR">
      <formula>NOT(ISERROR(SEARCH(("CAR"),(AN27))))</formula>
    </cfRule>
  </conditionalFormatting>
  <conditionalFormatting sqref="AN27:AN28 AN30:AN63">
    <cfRule type="containsText" dxfId="1" priority="446" operator="containsText" text="AGI">
      <formula>NOT(ISERROR(SEARCH(("AGI"),(AN27))))</formula>
    </cfRule>
  </conditionalFormatting>
  <conditionalFormatting sqref="AN27:AN28 AN30:AN63">
    <cfRule type="containsText" dxfId="2" priority="447" operator="containsText" text="PER">
      <formula>NOT(ISERROR(SEARCH(("PER"),(AN27))))</formula>
    </cfRule>
  </conditionalFormatting>
  <conditionalFormatting sqref="AN27:AN28 AN30:AN63">
    <cfRule type="containsText" dxfId="3" priority="448" operator="containsText" text="WIL">
      <formula>NOT(ISERROR(SEARCH(("WIL"),(AN27))))</formula>
    </cfRule>
  </conditionalFormatting>
  <conditionalFormatting sqref="AN27:AN28 AN30:AN63">
    <cfRule type="containsText" dxfId="4" priority="449" operator="containsText" text="INT">
      <formula>NOT(ISERROR(SEARCH(("INT"),(AN27))))</formula>
    </cfRule>
  </conditionalFormatting>
  <conditionalFormatting sqref="AN27:AN28 AN30:AN63">
    <cfRule type="containsText" dxfId="5" priority="450" operator="containsText" text="STR">
      <formula>NOT(ISERROR(SEARCH(("STR"),(AN27))))</formula>
    </cfRule>
  </conditionalFormatting>
  <conditionalFormatting sqref="W77:W78">
    <cfRule type="containsText" dxfId="8" priority="451" operator="containsText" text="CAR">
      <formula>NOT(ISERROR(SEARCH(("CAR"),(W77))))</formula>
    </cfRule>
  </conditionalFormatting>
  <conditionalFormatting sqref="W77:W78">
    <cfRule type="containsText" dxfId="1" priority="452" operator="containsText" text="AGI">
      <formula>NOT(ISERROR(SEARCH(("AGI"),(W77))))</formula>
    </cfRule>
  </conditionalFormatting>
  <conditionalFormatting sqref="W77:W78">
    <cfRule type="containsText" dxfId="2" priority="453" operator="containsText" text="PER">
      <formula>NOT(ISERROR(SEARCH(("PER"),(W77))))</formula>
    </cfRule>
  </conditionalFormatting>
  <conditionalFormatting sqref="W77:W78">
    <cfRule type="containsText" dxfId="3" priority="454" operator="containsText" text="WIL">
      <formula>NOT(ISERROR(SEARCH(("WIL"),(W77))))</formula>
    </cfRule>
  </conditionalFormatting>
  <conditionalFormatting sqref="W77:W78">
    <cfRule type="containsText" dxfId="4" priority="455" operator="containsText" text="INT">
      <formula>NOT(ISERROR(SEARCH(("INT"),(W77))))</formula>
    </cfRule>
  </conditionalFormatting>
  <conditionalFormatting sqref="W77:W78">
    <cfRule type="containsText" dxfId="5" priority="456" operator="containsText" text="STR">
      <formula>NOT(ISERROR(SEARCH(("STR"),(W77))))</formula>
    </cfRule>
  </conditionalFormatting>
  <conditionalFormatting sqref="AN29">
    <cfRule type="containsText" dxfId="8" priority="457" operator="containsText" text="CAR">
      <formula>NOT(ISERROR(SEARCH(("CAR"),(AN29))))</formula>
    </cfRule>
  </conditionalFormatting>
  <conditionalFormatting sqref="AN29">
    <cfRule type="containsText" dxfId="1" priority="458" operator="containsText" text="AGI">
      <formula>NOT(ISERROR(SEARCH(("AGI"),(AN29))))</formula>
    </cfRule>
  </conditionalFormatting>
  <conditionalFormatting sqref="AN29">
    <cfRule type="containsText" dxfId="2" priority="459" operator="containsText" text="PER">
      <formula>NOT(ISERROR(SEARCH(("PER"),(AN29))))</formula>
    </cfRule>
  </conditionalFormatting>
  <conditionalFormatting sqref="AN29">
    <cfRule type="containsText" dxfId="3" priority="460" operator="containsText" text="WIL">
      <formula>NOT(ISERROR(SEARCH(("WIL"),(AN29))))</formula>
    </cfRule>
  </conditionalFormatting>
  <conditionalFormatting sqref="AN29">
    <cfRule type="containsText" dxfId="4" priority="461" operator="containsText" text="INT">
      <formula>NOT(ISERROR(SEARCH(("INT"),(AN29))))</formula>
    </cfRule>
  </conditionalFormatting>
  <conditionalFormatting sqref="AN29">
    <cfRule type="containsText" dxfId="5" priority="462" operator="containsText" text="STR">
      <formula>NOT(ISERROR(SEARCH(("STR"),(AN29))))</formula>
    </cfRule>
  </conditionalFormatting>
  <conditionalFormatting sqref="P103:P104">
    <cfRule type="containsText" dxfId="8" priority="463" operator="containsText" text="CAR">
      <formula>NOT(ISERROR(SEARCH(("CAR"),(P103))))</formula>
    </cfRule>
  </conditionalFormatting>
  <conditionalFormatting sqref="P103:P104">
    <cfRule type="containsText" dxfId="1" priority="464" operator="containsText" text="AGI">
      <formula>NOT(ISERROR(SEARCH(("AGI"),(P103))))</formula>
    </cfRule>
  </conditionalFormatting>
  <conditionalFormatting sqref="P103:P104">
    <cfRule type="containsText" dxfId="2" priority="465" operator="containsText" text="PER">
      <formula>NOT(ISERROR(SEARCH(("PER"),(P103))))</formula>
    </cfRule>
  </conditionalFormatting>
  <conditionalFormatting sqref="P103:P104">
    <cfRule type="containsText" dxfId="3" priority="466" operator="containsText" text="WIL">
      <formula>NOT(ISERROR(SEARCH(("WIL"),(P103))))</formula>
    </cfRule>
  </conditionalFormatting>
  <conditionalFormatting sqref="P103:P104">
    <cfRule type="containsText" dxfId="4" priority="467" operator="containsText" text="INT">
      <formula>NOT(ISERROR(SEARCH(("INT"),(P103))))</formula>
    </cfRule>
  </conditionalFormatting>
  <conditionalFormatting sqref="P103:P104">
    <cfRule type="containsText" dxfId="5" priority="468" operator="containsText" text="STR">
      <formula>NOT(ISERROR(SEARCH(("STR"),(P103))))</formula>
    </cfRule>
  </conditionalFormatting>
  <conditionalFormatting sqref="R25:R26">
    <cfRule type="containsText" dxfId="8" priority="469" operator="containsText" text="CAR">
      <formula>NOT(ISERROR(SEARCH(("CAR"),(R25))))</formula>
    </cfRule>
  </conditionalFormatting>
  <conditionalFormatting sqref="R25:R26">
    <cfRule type="containsText" dxfId="1" priority="470" operator="containsText" text="AGI">
      <formula>NOT(ISERROR(SEARCH(("AGI"),(R25))))</formula>
    </cfRule>
  </conditionalFormatting>
  <conditionalFormatting sqref="R25:R26">
    <cfRule type="containsText" dxfId="2" priority="471" operator="containsText" text="PER">
      <formula>NOT(ISERROR(SEARCH(("PER"),(R25))))</formula>
    </cfRule>
  </conditionalFormatting>
  <conditionalFormatting sqref="R25:R26">
    <cfRule type="containsText" dxfId="3" priority="472" operator="containsText" text="WIL">
      <formula>NOT(ISERROR(SEARCH(("WIL"),(R25))))</formula>
    </cfRule>
  </conditionalFormatting>
  <conditionalFormatting sqref="R25:R26">
    <cfRule type="containsText" dxfId="4" priority="473" operator="containsText" text="INT">
      <formula>NOT(ISERROR(SEARCH(("INT"),(R25))))</formula>
    </cfRule>
  </conditionalFormatting>
  <conditionalFormatting sqref="R25:R26">
    <cfRule type="containsText" dxfId="5" priority="474" operator="containsText" text="STR">
      <formula>NOT(ISERROR(SEARCH(("STR"),(R25))))</formula>
    </cfRule>
  </conditionalFormatting>
  <conditionalFormatting sqref="AN6:AN24">
    <cfRule type="containsText" dxfId="8" priority="475" operator="containsText" text="CAR">
      <formula>NOT(ISERROR(SEARCH(("CAR"),(AN6))))</formula>
    </cfRule>
  </conditionalFormatting>
  <conditionalFormatting sqref="AN6:AN24">
    <cfRule type="containsText" dxfId="1" priority="476" operator="containsText" text="AGI">
      <formula>NOT(ISERROR(SEARCH(("AGI"),(AN6))))</formula>
    </cfRule>
  </conditionalFormatting>
  <conditionalFormatting sqref="AN6:AN24">
    <cfRule type="containsText" dxfId="2" priority="477" operator="containsText" text="PER">
      <formula>NOT(ISERROR(SEARCH(("PER"),(AN6))))</formula>
    </cfRule>
  </conditionalFormatting>
  <conditionalFormatting sqref="AN6:AN24">
    <cfRule type="containsText" dxfId="3" priority="478" operator="containsText" text="WIL">
      <formula>NOT(ISERROR(SEARCH(("WIL"),(AN6))))</formula>
    </cfRule>
  </conditionalFormatting>
  <conditionalFormatting sqref="AN6:AN24">
    <cfRule type="containsText" dxfId="4" priority="479" operator="containsText" text="INT">
      <formula>NOT(ISERROR(SEARCH(("INT"),(AN6))))</formula>
    </cfRule>
  </conditionalFormatting>
  <conditionalFormatting sqref="AN6:AN24">
    <cfRule type="containsText" dxfId="5" priority="480" operator="containsText" text="STR">
      <formula>NOT(ISERROR(SEARCH(("STR"),(AN6))))</formula>
    </cfRule>
  </conditionalFormatting>
  <conditionalFormatting sqref="AN26">
    <cfRule type="containsText" dxfId="8" priority="481" operator="containsText" text="CAR">
      <formula>NOT(ISERROR(SEARCH(("CAR"),(AN26))))</formula>
    </cfRule>
  </conditionalFormatting>
  <conditionalFormatting sqref="AN26">
    <cfRule type="containsText" dxfId="1" priority="482" operator="containsText" text="AGI">
      <formula>NOT(ISERROR(SEARCH(("AGI"),(AN26))))</formula>
    </cfRule>
  </conditionalFormatting>
  <conditionalFormatting sqref="AN26">
    <cfRule type="containsText" dxfId="2" priority="483" operator="containsText" text="PER">
      <formula>NOT(ISERROR(SEARCH(("PER"),(AN26))))</formula>
    </cfRule>
  </conditionalFormatting>
  <conditionalFormatting sqref="AN26">
    <cfRule type="containsText" dxfId="3" priority="484" operator="containsText" text="WIL">
      <formula>NOT(ISERROR(SEARCH(("WIL"),(AN26))))</formula>
    </cfRule>
  </conditionalFormatting>
  <conditionalFormatting sqref="AN26">
    <cfRule type="containsText" dxfId="4" priority="485" operator="containsText" text="INT">
      <formula>NOT(ISERROR(SEARCH(("INT"),(AN26))))</formula>
    </cfRule>
  </conditionalFormatting>
  <conditionalFormatting sqref="AN26">
    <cfRule type="containsText" dxfId="5" priority="486" operator="containsText" text="STR">
      <formula>NOT(ISERROR(SEARCH(("STR"),(AN26))))</formula>
    </cfRule>
  </conditionalFormatting>
  <conditionalFormatting sqref="AN64">
    <cfRule type="containsText" dxfId="8" priority="487" operator="containsText" text="CAR">
      <formula>NOT(ISERROR(SEARCH(("CAR"),(AN64))))</formula>
    </cfRule>
  </conditionalFormatting>
  <conditionalFormatting sqref="AN64">
    <cfRule type="containsText" dxfId="1" priority="488" operator="containsText" text="AGI">
      <formula>NOT(ISERROR(SEARCH(("AGI"),(AN64))))</formula>
    </cfRule>
  </conditionalFormatting>
  <conditionalFormatting sqref="AN64">
    <cfRule type="containsText" dxfId="2" priority="489" operator="containsText" text="PER">
      <formula>NOT(ISERROR(SEARCH(("PER"),(AN64))))</formula>
    </cfRule>
  </conditionalFormatting>
  <conditionalFormatting sqref="AN64">
    <cfRule type="containsText" dxfId="3" priority="490" operator="containsText" text="WIL">
      <formula>NOT(ISERROR(SEARCH(("WIL"),(AN64))))</formula>
    </cfRule>
  </conditionalFormatting>
  <conditionalFormatting sqref="AN64">
    <cfRule type="containsText" dxfId="4" priority="491" operator="containsText" text="INT">
      <formula>NOT(ISERROR(SEARCH(("INT"),(AN64))))</formula>
    </cfRule>
  </conditionalFormatting>
  <conditionalFormatting sqref="AN64">
    <cfRule type="containsText" dxfId="5" priority="492" operator="containsText" text="STR">
      <formula>NOT(ISERROR(SEARCH(("STR"),(AN64))))</formula>
    </cfRule>
  </conditionalFormatting>
  <conditionalFormatting sqref="AN25">
    <cfRule type="containsText" dxfId="8" priority="493" operator="containsText" text="CAR">
      <formula>NOT(ISERROR(SEARCH(("CAR"),(AN25))))</formula>
    </cfRule>
  </conditionalFormatting>
  <conditionalFormatting sqref="AN25">
    <cfRule type="containsText" dxfId="1" priority="494" operator="containsText" text="AGI">
      <formula>NOT(ISERROR(SEARCH(("AGI"),(AN25))))</formula>
    </cfRule>
  </conditionalFormatting>
  <conditionalFormatting sqref="AN25">
    <cfRule type="containsText" dxfId="2" priority="495" operator="containsText" text="PER">
      <formula>NOT(ISERROR(SEARCH(("PER"),(AN25))))</formula>
    </cfRule>
  </conditionalFormatting>
  <conditionalFormatting sqref="AN25">
    <cfRule type="containsText" dxfId="3" priority="496" operator="containsText" text="WIL">
      <formula>NOT(ISERROR(SEARCH(("WIL"),(AN25))))</formula>
    </cfRule>
  </conditionalFormatting>
  <conditionalFormatting sqref="AN25">
    <cfRule type="containsText" dxfId="4" priority="497" operator="containsText" text="INT">
      <formula>NOT(ISERROR(SEARCH(("INT"),(AN25))))</formula>
    </cfRule>
  </conditionalFormatting>
  <conditionalFormatting sqref="AN25">
    <cfRule type="containsText" dxfId="5" priority="498" operator="containsText" text="STR">
      <formula>NOT(ISERROR(SEARCH(("STR"),(AN25))))</formula>
    </cfRule>
  </conditionalFormatting>
  <conditionalFormatting sqref="AN65">
    <cfRule type="containsText" dxfId="8" priority="499" operator="containsText" text="CAR">
      <formula>NOT(ISERROR(SEARCH(("CAR"),(AN65))))</formula>
    </cfRule>
  </conditionalFormatting>
  <conditionalFormatting sqref="AN65">
    <cfRule type="containsText" dxfId="1" priority="500" operator="containsText" text="AGI">
      <formula>NOT(ISERROR(SEARCH(("AGI"),(AN65))))</formula>
    </cfRule>
  </conditionalFormatting>
  <conditionalFormatting sqref="AN65">
    <cfRule type="containsText" dxfId="2" priority="501" operator="containsText" text="PER">
      <formula>NOT(ISERROR(SEARCH(("PER"),(AN65))))</formula>
    </cfRule>
  </conditionalFormatting>
  <conditionalFormatting sqref="AN65">
    <cfRule type="containsText" dxfId="3" priority="502" operator="containsText" text="WIL">
      <formula>NOT(ISERROR(SEARCH(("WIL"),(AN65))))</formula>
    </cfRule>
  </conditionalFormatting>
  <conditionalFormatting sqref="AN65">
    <cfRule type="containsText" dxfId="4" priority="503" operator="containsText" text="INT">
      <formula>NOT(ISERROR(SEARCH(("INT"),(AN65))))</formula>
    </cfRule>
  </conditionalFormatting>
  <conditionalFormatting sqref="AN65">
    <cfRule type="containsText" dxfId="5" priority="504" operator="containsText" text="STR">
      <formula>NOT(ISERROR(SEARCH(("STR"),(AN65))))</formula>
    </cfRule>
  </conditionalFormatting>
  <conditionalFormatting sqref="H99:H100">
    <cfRule type="containsText" dxfId="8" priority="505" operator="containsText" text="CAR">
      <formula>NOT(ISERROR(SEARCH(("CAR"),(H99))))</formula>
    </cfRule>
  </conditionalFormatting>
  <conditionalFormatting sqref="H99:H100">
    <cfRule type="containsText" dxfId="1" priority="506" operator="containsText" text="AGI">
      <formula>NOT(ISERROR(SEARCH(("AGI"),(H99))))</formula>
    </cfRule>
  </conditionalFormatting>
  <conditionalFormatting sqref="H99:H100">
    <cfRule type="containsText" dxfId="2" priority="507" operator="containsText" text="PER">
      <formula>NOT(ISERROR(SEARCH(("PER"),(H99))))</formula>
    </cfRule>
  </conditionalFormatting>
  <conditionalFormatting sqref="H99:H100">
    <cfRule type="containsText" dxfId="3" priority="508" operator="containsText" text="WIL">
      <formula>NOT(ISERROR(SEARCH(("WIL"),(H99))))</formula>
    </cfRule>
  </conditionalFormatting>
  <conditionalFormatting sqref="H99:H100">
    <cfRule type="containsText" dxfId="4" priority="509" operator="containsText" text="INT">
      <formula>NOT(ISERROR(SEARCH(("INT"),(H99))))</formula>
    </cfRule>
  </conditionalFormatting>
  <conditionalFormatting sqref="H99:H100">
    <cfRule type="containsText" dxfId="5" priority="510" operator="containsText" text="STR">
      <formula>NOT(ISERROR(SEARCH(("STR"),(H99))))</formula>
    </cfRule>
  </conditionalFormatting>
  <conditionalFormatting sqref="P109:P110">
    <cfRule type="containsText" dxfId="8" priority="511" operator="containsText" text="CAR">
      <formula>NOT(ISERROR(SEARCH(("CAR"),(P109))))</formula>
    </cfRule>
  </conditionalFormatting>
  <conditionalFormatting sqref="P109:P110">
    <cfRule type="containsText" dxfId="1" priority="512" operator="containsText" text="AGI">
      <formula>NOT(ISERROR(SEARCH(("AGI"),(P109))))</formula>
    </cfRule>
  </conditionalFormatting>
  <conditionalFormatting sqref="P109:P110">
    <cfRule type="containsText" dxfId="2" priority="513" operator="containsText" text="PER">
      <formula>NOT(ISERROR(SEARCH(("PER"),(P109))))</formula>
    </cfRule>
  </conditionalFormatting>
  <conditionalFormatting sqref="P109:P110">
    <cfRule type="containsText" dxfId="3" priority="514" operator="containsText" text="WIL">
      <formula>NOT(ISERROR(SEARCH(("WIL"),(P109))))</formula>
    </cfRule>
  </conditionalFormatting>
  <conditionalFormatting sqref="P109:P110">
    <cfRule type="containsText" dxfId="4" priority="515" operator="containsText" text="INT">
      <formula>NOT(ISERROR(SEARCH(("INT"),(P109))))</formula>
    </cfRule>
  </conditionalFormatting>
  <conditionalFormatting sqref="P109:P110">
    <cfRule type="containsText" dxfId="5" priority="516" operator="containsText" text="STR">
      <formula>NOT(ISERROR(SEARCH(("STR"),(P109))))</formula>
    </cfRule>
  </conditionalFormatting>
  <conditionalFormatting sqref="H101:H102">
    <cfRule type="containsText" dxfId="8" priority="517" operator="containsText" text="CAR">
      <formula>NOT(ISERROR(SEARCH(("CAR"),(H101))))</formula>
    </cfRule>
  </conditionalFormatting>
  <conditionalFormatting sqref="H101:H102">
    <cfRule type="containsText" dxfId="1" priority="518" operator="containsText" text="AGI">
      <formula>NOT(ISERROR(SEARCH(("AGI"),(H101))))</formula>
    </cfRule>
  </conditionalFormatting>
  <conditionalFormatting sqref="H101:H102">
    <cfRule type="containsText" dxfId="2" priority="519" operator="containsText" text="PER">
      <formula>NOT(ISERROR(SEARCH(("PER"),(H101))))</formula>
    </cfRule>
  </conditionalFormatting>
  <conditionalFormatting sqref="H101:H102">
    <cfRule type="containsText" dxfId="3" priority="520" operator="containsText" text="WIL">
      <formula>NOT(ISERROR(SEARCH(("WIL"),(H101))))</formula>
    </cfRule>
  </conditionalFormatting>
  <conditionalFormatting sqref="H101:H102">
    <cfRule type="containsText" dxfId="4" priority="521" operator="containsText" text="INT">
      <formula>NOT(ISERROR(SEARCH(("INT"),(H101))))</formula>
    </cfRule>
  </conditionalFormatting>
  <conditionalFormatting sqref="H101:H102">
    <cfRule type="containsText" dxfId="5" priority="522" operator="containsText" text="STR">
      <formula>NOT(ISERROR(SEARCH(("STR"),(H101))))</formula>
    </cfRule>
  </conditionalFormatting>
  <conditionalFormatting sqref="R57:R58">
    <cfRule type="containsText" dxfId="8" priority="523" operator="containsText" text="CAR">
      <formula>NOT(ISERROR(SEARCH(("CAR"),(R57))))</formula>
    </cfRule>
  </conditionalFormatting>
  <conditionalFormatting sqref="R57:R58">
    <cfRule type="containsText" dxfId="1" priority="524" operator="containsText" text="AGI">
      <formula>NOT(ISERROR(SEARCH(("AGI"),(R57))))</formula>
    </cfRule>
  </conditionalFormatting>
  <conditionalFormatting sqref="R57:R58">
    <cfRule type="containsText" dxfId="2" priority="525" operator="containsText" text="PER">
      <formula>NOT(ISERROR(SEARCH(("PER"),(R57))))</formula>
    </cfRule>
  </conditionalFormatting>
  <conditionalFormatting sqref="R57:R58">
    <cfRule type="containsText" dxfId="3" priority="526" operator="containsText" text="WIL">
      <formula>NOT(ISERROR(SEARCH(("WIL"),(R57))))</formula>
    </cfRule>
  </conditionalFormatting>
  <conditionalFormatting sqref="R57:R58">
    <cfRule type="containsText" dxfId="4" priority="527" operator="containsText" text="INT">
      <formula>NOT(ISERROR(SEARCH(("INT"),(R57))))</formula>
    </cfRule>
  </conditionalFormatting>
  <conditionalFormatting sqref="R57:R58">
    <cfRule type="containsText" dxfId="5" priority="528" operator="containsText" text="STR">
      <formula>NOT(ISERROR(SEARCH(("STR"),(R57))))</formula>
    </cfRule>
  </conditionalFormatting>
  <conditionalFormatting sqref="P99:P100">
    <cfRule type="containsText" dxfId="8" priority="529" operator="containsText" text="CAR">
      <formula>NOT(ISERROR(SEARCH(("CAR"),(P99))))</formula>
    </cfRule>
  </conditionalFormatting>
  <conditionalFormatting sqref="P99:P100">
    <cfRule type="containsText" dxfId="1" priority="530" operator="containsText" text="AGI">
      <formula>NOT(ISERROR(SEARCH(("AGI"),(P99))))</formula>
    </cfRule>
  </conditionalFormatting>
  <conditionalFormatting sqref="P99:P100">
    <cfRule type="containsText" dxfId="2" priority="531" operator="containsText" text="PER">
      <formula>NOT(ISERROR(SEARCH(("PER"),(P99))))</formula>
    </cfRule>
  </conditionalFormatting>
  <conditionalFormatting sqref="P99:P100">
    <cfRule type="containsText" dxfId="3" priority="532" operator="containsText" text="WIL">
      <formula>NOT(ISERROR(SEARCH(("WIL"),(P99))))</formula>
    </cfRule>
  </conditionalFormatting>
  <conditionalFormatting sqref="P99:P100">
    <cfRule type="containsText" dxfId="4" priority="533" operator="containsText" text="INT">
      <formula>NOT(ISERROR(SEARCH(("INT"),(P99))))</formula>
    </cfRule>
  </conditionalFormatting>
  <conditionalFormatting sqref="P99:P100">
    <cfRule type="containsText" dxfId="5" priority="534" operator="containsText" text="STR">
      <formula>NOT(ISERROR(SEARCH(("STR"),(P99))))</formula>
    </cfRule>
  </conditionalFormatting>
  <conditionalFormatting sqref="H47:H48">
    <cfRule type="containsText" dxfId="8" priority="535" operator="containsText" text="CAR">
      <formula>NOT(ISERROR(SEARCH(("CAR"),(H47))))</formula>
    </cfRule>
  </conditionalFormatting>
  <conditionalFormatting sqref="H47:H48">
    <cfRule type="containsText" dxfId="1" priority="536" operator="containsText" text="AGI">
      <formula>NOT(ISERROR(SEARCH(("AGI"),(H47))))</formula>
    </cfRule>
  </conditionalFormatting>
  <conditionalFormatting sqref="H47:H48">
    <cfRule type="containsText" dxfId="2" priority="537" operator="containsText" text="PER">
      <formula>NOT(ISERROR(SEARCH(("PER"),(H47))))</formula>
    </cfRule>
  </conditionalFormatting>
  <conditionalFormatting sqref="H47:H48">
    <cfRule type="containsText" dxfId="3" priority="538" operator="containsText" text="WIL">
      <formula>NOT(ISERROR(SEARCH(("WIL"),(H47))))</formula>
    </cfRule>
  </conditionalFormatting>
  <conditionalFormatting sqref="H47:H48">
    <cfRule type="containsText" dxfId="4" priority="539" operator="containsText" text="INT">
      <formula>NOT(ISERROR(SEARCH(("INT"),(H47))))</formula>
    </cfRule>
  </conditionalFormatting>
  <conditionalFormatting sqref="H47:H48">
    <cfRule type="containsText" dxfId="5" priority="540" operator="containsText" text="STR">
      <formula>NOT(ISERROR(SEARCH(("STR"),(H47))))</formula>
    </cfRule>
  </conditionalFormatting>
  <conditionalFormatting sqref="H45:H46">
    <cfRule type="containsText" dxfId="8" priority="541" operator="containsText" text="CAR">
      <formula>NOT(ISERROR(SEARCH(("CAR"),(H45))))</formula>
    </cfRule>
  </conditionalFormatting>
  <conditionalFormatting sqref="H45:H46">
    <cfRule type="containsText" dxfId="1" priority="542" operator="containsText" text="AGI">
      <formula>NOT(ISERROR(SEARCH(("AGI"),(H45))))</formula>
    </cfRule>
  </conditionalFormatting>
  <conditionalFormatting sqref="H45:H46">
    <cfRule type="containsText" dxfId="2" priority="543" operator="containsText" text="PER">
      <formula>NOT(ISERROR(SEARCH(("PER"),(H45))))</formula>
    </cfRule>
  </conditionalFormatting>
  <conditionalFormatting sqref="H45:H46">
    <cfRule type="containsText" dxfId="3" priority="544" operator="containsText" text="WIL">
      <formula>NOT(ISERROR(SEARCH(("WIL"),(H45))))</formula>
    </cfRule>
  </conditionalFormatting>
  <conditionalFormatting sqref="H45:H46">
    <cfRule type="containsText" dxfId="4" priority="545" operator="containsText" text="INT">
      <formula>NOT(ISERROR(SEARCH(("INT"),(H45))))</formula>
    </cfRule>
  </conditionalFormatting>
  <conditionalFormatting sqref="H45:H46">
    <cfRule type="containsText" dxfId="5" priority="546" operator="containsText" text="STR">
      <formula>NOT(ISERROR(SEARCH(("STR"),(H45))))</formula>
    </cfRule>
  </conditionalFormatting>
  <conditionalFormatting sqref="H49:H50">
    <cfRule type="containsText" dxfId="8" priority="547" operator="containsText" text="CAR">
      <formula>NOT(ISERROR(SEARCH(("CAR"),(H49))))</formula>
    </cfRule>
  </conditionalFormatting>
  <conditionalFormatting sqref="H49:H50">
    <cfRule type="containsText" dxfId="1" priority="548" operator="containsText" text="AGI">
      <formula>NOT(ISERROR(SEARCH(("AGI"),(H49))))</formula>
    </cfRule>
  </conditionalFormatting>
  <conditionalFormatting sqref="H49:H50">
    <cfRule type="containsText" dxfId="2" priority="549" operator="containsText" text="PER">
      <formula>NOT(ISERROR(SEARCH(("PER"),(H49))))</formula>
    </cfRule>
  </conditionalFormatting>
  <conditionalFormatting sqref="H49:H50">
    <cfRule type="containsText" dxfId="3" priority="550" operator="containsText" text="WIL">
      <formula>NOT(ISERROR(SEARCH(("WIL"),(H49))))</formula>
    </cfRule>
  </conditionalFormatting>
  <conditionalFormatting sqref="H49:H50">
    <cfRule type="containsText" dxfId="4" priority="551" operator="containsText" text="INT">
      <formula>NOT(ISERROR(SEARCH(("INT"),(H49))))</formula>
    </cfRule>
  </conditionalFormatting>
  <conditionalFormatting sqref="H49:H50">
    <cfRule type="containsText" dxfId="5" priority="552" operator="containsText" text="STR">
      <formula>NOT(ISERROR(SEARCH(("STR"),(H49))))</formula>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86"/>
    <col customWidth="1" min="3" max="26" width="8.71"/>
  </cols>
  <sheetData>
    <row r="1" ht="14.25" customHeight="1">
      <c r="B1" s="9"/>
    </row>
    <row r="2" ht="14.25" customHeight="1">
      <c r="B2" s="9"/>
    </row>
    <row r="3" ht="14.25" customHeight="1">
      <c r="B3" s="9"/>
      <c r="C3" s="279" t="s">
        <v>501</v>
      </c>
    </row>
    <row r="4" ht="14.25" customHeight="1">
      <c r="B4" s="9"/>
    </row>
    <row r="5" ht="14.25" customHeight="1">
      <c r="B5" s="9">
        <v>1.0</v>
      </c>
      <c r="C5" s="1" t="s">
        <v>402</v>
      </c>
      <c r="E5" s="197" t="str">
        <f>IFNA(VLOOKUP(C5,Groups!$D$5:$H$62,5,FALSE),VLOOKUP(C5,Groups!$N$5:$R$62,5,FALSE))</f>
        <v>AGI</v>
      </c>
    </row>
    <row r="6" ht="14.25" customHeight="1">
      <c r="B6" s="9">
        <v>2.0</v>
      </c>
      <c r="C6" s="1" t="s">
        <v>469</v>
      </c>
      <c r="E6" s="197" t="str">
        <f>IFNA(VLOOKUP(C6,Groups!$D$5:$H$62,5,FALSE),VLOOKUP(C6,Groups!$N$5:$R$62,5,FALSE))</f>
        <v>AGI</v>
      </c>
      <c r="H6" s="280" t="s">
        <v>502</v>
      </c>
    </row>
    <row r="7" ht="14.25" customHeight="1">
      <c r="B7" s="9">
        <v>3.0</v>
      </c>
      <c r="C7" s="1" t="s">
        <v>464</v>
      </c>
      <c r="E7" s="197" t="str">
        <f>IFNA(VLOOKUP(C7,Groups!$D$5:$H$62,5,FALSE),VLOOKUP(C7,Groups!$N$5:$R$62,5,FALSE))</f>
        <v>CAR</v>
      </c>
    </row>
    <row r="8" ht="14.25" customHeight="1">
      <c r="B8" s="9">
        <v>4.0</v>
      </c>
      <c r="C8" s="1" t="s">
        <v>467</v>
      </c>
      <c r="E8" s="197" t="str">
        <f>IFNA(VLOOKUP(C8,Groups!$D$5:$H$62,5,FALSE),VLOOKUP(C8,Groups!$N$5:$R$62,5,FALSE))</f>
        <v>CAR</v>
      </c>
      <c r="H8" s="1" t="s">
        <v>503</v>
      </c>
    </row>
    <row r="9" ht="14.25" customHeight="1">
      <c r="B9" s="9">
        <v>5.0</v>
      </c>
      <c r="C9" s="1" t="s">
        <v>443</v>
      </c>
      <c r="E9" s="197" t="str">
        <f>IFNA(VLOOKUP(C9,Groups!$D$5:$H$62,5,FALSE),VLOOKUP(C9,Groups!$N$5:$R$62,5,FALSE))</f>
        <v>INT</v>
      </c>
      <c r="H9" s="1" t="s">
        <v>504</v>
      </c>
    </row>
    <row r="10" ht="14.25" customHeight="1">
      <c r="B10" s="9">
        <v>6.0</v>
      </c>
      <c r="C10" s="1" t="s">
        <v>446</v>
      </c>
      <c r="E10" s="197" t="str">
        <f>IFNA(VLOOKUP(C10,Groups!$D$5:$H$62,5,FALSE),VLOOKUP(C10,Groups!$N$5:$R$62,5,FALSE))</f>
        <v>PER</v>
      </c>
      <c r="H10" s="1" t="s">
        <v>505</v>
      </c>
    </row>
    <row r="11" ht="14.25" customHeight="1">
      <c r="B11" s="9">
        <v>7.0</v>
      </c>
      <c r="C11" s="1" t="s">
        <v>424</v>
      </c>
      <c r="E11" s="197" t="str">
        <f>IFNA(VLOOKUP(C11,Groups!$D$5:$H$62,5,FALSE),VLOOKUP(C11,Groups!$N$5:$R$62,5,FALSE))</f>
        <v>PER</v>
      </c>
      <c r="H11" s="1" t="s">
        <v>506</v>
      </c>
    </row>
    <row r="12" ht="14.25" customHeight="1">
      <c r="B12" s="9">
        <v>8.0</v>
      </c>
      <c r="C12" s="1" t="s">
        <v>405</v>
      </c>
      <c r="E12" s="197" t="str">
        <f>IFNA(VLOOKUP(C12,Groups!$D$5:$H$62,5,FALSE),VLOOKUP(C12,Groups!$N$5:$R$62,5,FALSE))</f>
        <v>STR</v>
      </c>
      <c r="H12" s="1" t="s">
        <v>507</v>
      </c>
    </row>
    <row r="13" ht="14.25" customHeight="1">
      <c r="B13" s="9">
        <v>9.0</v>
      </c>
      <c r="C13" s="1" t="s">
        <v>428</v>
      </c>
      <c r="E13" s="197" t="str">
        <f>IFNA(VLOOKUP(C13,Groups!$D$5:$H$62,5,FALSE),VLOOKUP(C13,Groups!$N$5:$R$62,5,FALSE))</f>
        <v>STR</v>
      </c>
      <c r="I13" s="1" t="s">
        <v>508</v>
      </c>
    </row>
    <row r="14" ht="14.25" customHeight="1">
      <c r="B14" s="9">
        <v>10.0</v>
      </c>
      <c r="C14" s="1" t="s">
        <v>509</v>
      </c>
      <c r="E14" s="197" t="str">
        <f>IFNA(VLOOKUP(C14,Groups!$D$5:$H$62,5,FALSE),VLOOKUP(C14,Groups!$N$5:$R$62,5,FALSE))</f>
        <v>STR</v>
      </c>
      <c r="H14" s="1" t="s">
        <v>510</v>
      </c>
    </row>
    <row r="15" ht="14.25" customHeight="1">
      <c r="B15" s="9">
        <v>11.0</v>
      </c>
      <c r="C15" s="1" t="s">
        <v>470</v>
      </c>
      <c r="E15" s="197" t="str">
        <f>IFNA(VLOOKUP(C15,Groups!$D$5:$H$62,5,FALSE),VLOOKUP(C15,Groups!$N$5:$R$62,5,FALSE))</f>
        <v>WIL</v>
      </c>
      <c r="I15" s="1" t="s">
        <v>511</v>
      </c>
    </row>
    <row r="16" ht="14.25" customHeight="1">
      <c r="B16" s="9">
        <v>12.0</v>
      </c>
      <c r="C16" s="1" t="s">
        <v>406</v>
      </c>
      <c r="E16" s="197" t="str">
        <f>IFNA(VLOOKUP(C16,Groups!$D$5:$H$62,5,FALSE),VLOOKUP(C16,Groups!$N$5:$R$62,5,FALSE))</f>
        <v>WIL</v>
      </c>
      <c r="H16" s="1" t="s">
        <v>512</v>
      </c>
    </row>
    <row r="17" ht="14.25" customHeight="1">
      <c r="B17" s="9"/>
      <c r="I17" s="1" t="s">
        <v>513</v>
      </c>
    </row>
    <row r="18" ht="14.25" customHeight="1">
      <c r="B18" s="9"/>
      <c r="H18" s="1" t="s">
        <v>514</v>
      </c>
    </row>
    <row r="19" ht="14.25" customHeight="1">
      <c r="B19" s="9"/>
      <c r="C19" s="279" t="s">
        <v>515</v>
      </c>
      <c r="H19" s="1" t="s">
        <v>516</v>
      </c>
    </row>
    <row r="20" ht="14.25" customHeight="1">
      <c r="B20" s="9"/>
      <c r="I20" s="1" t="s">
        <v>517</v>
      </c>
    </row>
    <row r="21" ht="14.25" customHeight="1">
      <c r="B21" s="9">
        <v>1.0</v>
      </c>
      <c r="C21" s="1" t="s">
        <v>404</v>
      </c>
      <c r="E21" s="197" t="str">
        <f>VLOOKUP(C21,Groups!$AK$6:$AN$64,4,FALSE)</f>
        <v>AGI</v>
      </c>
      <c r="H21" s="1" t="s">
        <v>518</v>
      </c>
    </row>
    <row r="22" ht="14.25" customHeight="1">
      <c r="B22" s="9">
        <v>2.0</v>
      </c>
      <c r="C22" s="1" t="s">
        <v>410</v>
      </c>
      <c r="E22" s="197" t="str">
        <f>VLOOKUP(C22,Groups!$AK$6:$AN$64,4,FALSE)</f>
        <v>AGI</v>
      </c>
      <c r="I22" s="1" t="s">
        <v>519</v>
      </c>
    </row>
    <row r="23" ht="14.25" customHeight="1">
      <c r="B23" s="9">
        <v>3.0</v>
      </c>
      <c r="C23" s="1" t="s">
        <v>407</v>
      </c>
      <c r="E23" s="197" t="str">
        <f>VLOOKUP(C23,Groups!$AK$6:$AN$64,4,FALSE)</f>
        <v>AGI</v>
      </c>
    </row>
    <row r="24" ht="14.25" customHeight="1">
      <c r="B24" s="9">
        <v>4.0</v>
      </c>
      <c r="C24" s="1" t="s">
        <v>411</v>
      </c>
      <c r="E24" s="197" t="str">
        <f>VLOOKUP(C24,Groups!$AK$6:$AN$64,4,FALSE)</f>
        <v>AGI</v>
      </c>
    </row>
    <row r="25" ht="14.25" customHeight="1">
      <c r="B25" s="9">
        <v>5.0</v>
      </c>
      <c r="C25" s="1" t="s">
        <v>408</v>
      </c>
      <c r="E25" s="197" t="str">
        <f>VLOOKUP(C25,Groups!$AK$6:$AN$64,4,FALSE)</f>
        <v>AGI</v>
      </c>
    </row>
    <row r="26" ht="14.25" customHeight="1">
      <c r="B26" s="9">
        <v>6.0</v>
      </c>
      <c r="C26" s="1" t="s">
        <v>427</v>
      </c>
      <c r="E26" s="197" t="str">
        <f>VLOOKUP(C26,Groups!$AK$6:$AN$64,4,FALSE)</f>
        <v>CAR</v>
      </c>
    </row>
    <row r="27" ht="14.25" customHeight="1">
      <c r="B27" s="9">
        <v>7.0</v>
      </c>
      <c r="C27" s="1" t="s">
        <v>418</v>
      </c>
      <c r="E27" s="197" t="str">
        <f>VLOOKUP(C27,Groups!$AK$6:$AN$64,4,FALSE)</f>
        <v>CAR</v>
      </c>
    </row>
    <row r="28" ht="14.25" customHeight="1">
      <c r="B28" s="9">
        <v>8.0</v>
      </c>
      <c r="C28" s="1" t="s">
        <v>416</v>
      </c>
      <c r="E28" s="197" t="str">
        <f>VLOOKUP(C28,Groups!$AK$6:$AN$64,4,FALSE)</f>
        <v>CAR</v>
      </c>
    </row>
    <row r="29" ht="14.25" customHeight="1">
      <c r="B29" s="9">
        <v>9.0</v>
      </c>
      <c r="C29" s="1" t="s">
        <v>419</v>
      </c>
      <c r="E29" s="197" t="str">
        <f>VLOOKUP(C29,Groups!$AK$6:$AN$64,4,FALSE)</f>
        <v>CAR</v>
      </c>
    </row>
    <row r="30" ht="14.25" customHeight="1">
      <c r="B30" s="9">
        <v>10.0</v>
      </c>
      <c r="C30" s="1" t="s">
        <v>426</v>
      </c>
      <c r="E30" s="197" t="str">
        <f>VLOOKUP(C30,Groups!$AK$6:$AN$64,4,FALSE)</f>
        <v>CAR</v>
      </c>
    </row>
    <row r="31" ht="14.25" customHeight="1">
      <c r="B31" s="9">
        <v>11.0</v>
      </c>
      <c r="C31" s="1" t="s">
        <v>414</v>
      </c>
      <c r="E31" s="197" t="str">
        <f>VLOOKUP(C31,Groups!$AK$6:$AN$64,4,FALSE)</f>
        <v>CAR</v>
      </c>
    </row>
    <row r="32" ht="14.25" customHeight="1">
      <c r="B32" s="9">
        <v>12.0</v>
      </c>
      <c r="C32" s="1" t="s">
        <v>417</v>
      </c>
      <c r="E32" s="197" t="str">
        <f>VLOOKUP(C32,Groups!$AK$6:$AN$64,4,FALSE)</f>
        <v>CAR</v>
      </c>
    </row>
    <row r="33" ht="14.25" customHeight="1">
      <c r="B33" s="9">
        <v>13.0</v>
      </c>
      <c r="C33" s="1" t="s">
        <v>415</v>
      </c>
      <c r="E33" s="197" t="str">
        <f>VLOOKUP(C33,Groups!$AK$6:$AN$64,4,FALSE)</f>
        <v>CAR</v>
      </c>
    </row>
    <row r="34" ht="14.25" customHeight="1">
      <c r="B34" s="9">
        <v>14.0</v>
      </c>
      <c r="C34" s="1" t="s">
        <v>434</v>
      </c>
      <c r="E34" s="197" t="str">
        <f>VLOOKUP(C34,Groups!$AK$6:$AN$64,4,FALSE)</f>
        <v>INT</v>
      </c>
    </row>
    <row r="35" ht="14.25" customHeight="1">
      <c r="B35" s="9">
        <v>15.0</v>
      </c>
      <c r="C35" s="1" t="s">
        <v>436</v>
      </c>
      <c r="E35" s="197" t="str">
        <f>VLOOKUP(C35,Groups!$AK$6:$AN$64,4,FALSE)</f>
        <v>INT</v>
      </c>
    </row>
    <row r="36" ht="14.25" customHeight="1">
      <c r="B36" s="9">
        <v>16.0</v>
      </c>
      <c r="C36" s="1" t="s">
        <v>433</v>
      </c>
      <c r="E36" s="197" t="str">
        <f>VLOOKUP(C36,Groups!$AK$6:$AN$64,4,FALSE)</f>
        <v>INT</v>
      </c>
    </row>
    <row r="37" ht="14.25" customHeight="1">
      <c r="B37" s="9">
        <v>17.0</v>
      </c>
      <c r="C37" s="1" t="s">
        <v>438</v>
      </c>
      <c r="E37" s="197" t="str">
        <f>VLOOKUP(C37,Groups!$AK$6:$AN$64,4,FALSE)</f>
        <v>INT</v>
      </c>
    </row>
    <row r="38" ht="14.25" customHeight="1">
      <c r="B38" s="9">
        <v>18.0</v>
      </c>
      <c r="C38" s="1" t="s">
        <v>439</v>
      </c>
      <c r="E38" s="197" t="str">
        <f>VLOOKUP(C38,Groups!$AK$6:$AN$64,4,FALSE)</f>
        <v>INT</v>
      </c>
    </row>
    <row r="39" ht="14.25" customHeight="1">
      <c r="B39" s="9">
        <v>19.0</v>
      </c>
      <c r="C39" s="1" t="s">
        <v>441</v>
      </c>
      <c r="E39" s="197" t="str">
        <f>VLOOKUP(C39,Groups!$AK$6:$AN$64,4,FALSE)</f>
        <v>INT</v>
      </c>
    </row>
    <row r="40" ht="14.25" customHeight="1">
      <c r="B40" s="9">
        <v>20.0</v>
      </c>
      <c r="C40" s="1" t="s">
        <v>449</v>
      </c>
      <c r="E40" s="197" t="str">
        <f>VLOOKUP(C40,Groups!$AK$6:$AN$64,4,FALSE)</f>
        <v>INT</v>
      </c>
    </row>
    <row r="41" ht="14.25" customHeight="1">
      <c r="B41" s="9">
        <v>21.0</v>
      </c>
      <c r="C41" s="1" t="s">
        <v>452</v>
      </c>
      <c r="E41" s="197" t="str">
        <f>VLOOKUP(C41,Groups!$AK$6:$AN$64,4,FALSE)</f>
        <v>INT</v>
      </c>
    </row>
    <row r="42" ht="14.25" customHeight="1">
      <c r="B42" s="9">
        <v>22.0</v>
      </c>
      <c r="C42" s="1" t="s">
        <v>430</v>
      </c>
      <c r="E42" s="197" t="str">
        <f>VLOOKUP(C42,Groups!$AK$6:$AN$64,4,FALSE)</f>
        <v>INT</v>
      </c>
    </row>
    <row r="43" ht="14.25" customHeight="1">
      <c r="B43" s="9">
        <v>23.0</v>
      </c>
      <c r="C43" s="1" t="s">
        <v>450</v>
      </c>
      <c r="E43" s="197" t="str">
        <f>VLOOKUP(C43,Groups!$AK$6:$AN$64,4,FALSE)</f>
        <v>INT</v>
      </c>
    </row>
    <row r="44" ht="14.25" customHeight="1">
      <c r="B44" s="9">
        <v>24.0</v>
      </c>
      <c r="C44" s="1" t="s">
        <v>432</v>
      </c>
      <c r="E44" s="197" t="str">
        <f>VLOOKUP(C44,Groups!$AK$6:$AN$64,4,FALSE)</f>
        <v>INT</v>
      </c>
    </row>
    <row r="45" ht="14.25" customHeight="1">
      <c r="B45" s="9">
        <v>25.0</v>
      </c>
      <c r="C45" s="1" t="s">
        <v>431</v>
      </c>
      <c r="E45" s="197" t="str">
        <f>VLOOKUP(C45,Groups!$AK$6:$AN$64,4,FALSE)</f>
        <v>PER</v>
      </c>
    </row>
    <row r="46" ht="14.25" customHeight="1">
      <c r="B46" s="9">
        <v>26.0</v>
      </c>
      <c r="C46" s="1" t="s">
        <v>440</v>
      </c>
      <c r="E46" s="197" t="str">
        <f>VLOOKUP(C46,Groups!$AK$6:$AN$64,4,FALSE)</f>
        <v>PER</v>
      </c>
    </row>
    <row r="47" ht="14.25" customHeight="1">
      <c r="B47" s="9">
        <v>27.0</v>
      </c>
      <c r="C47" s="1" t="s">
        <v>412</v>
      </c>
      <c r="E47" s="197" t="str">
        <f>VLOOKUP(C47,Groups!$AK$6:$AN$64,4,FALSE)</f>
        <v>PER</v>
      </c>
    </row>
    <row r="48" ht="14.25" customHeight="1">
      <c r="B48" s="9">
        <v>28.0</v>
      </c>
      <c r="C48" s="1" t="s">
        <v>455</v>
      </c>
      <c r="E48" s="197" t="str">
        <f>VLOOKUP(C48,Groups!$AK$6:$AN$64,4,FALSE)</f>
        <v>PER</v>
      </c>
    </row>
    <row r="49" ht="14.25" customHeight="1">
      <c r="B49" s="9">
        <v>29.0</v>
      </c>
      <c r="C49" s="1" t="s">
        <v>458</v>
      </c>
      <c r="E49" s="197" t="str">
        <f>VLOOKUP(C49,Groups!$AK$6:$AN$64,4,FALSE)</f>
        <v>PER</v>
      </c>
    </row>
    <row r="50" ht="14.25" customHeight="1">
      <c r="B50" s="9">
        <v>30.0</v>
      </c>
      <c r="C50" s="1" t="s">
        <v>453</v>
      </c>
      <c r="E50" s="197" t="str">
        <f>VLOOKUP(C50,Groups!$AK$6:$AN$64,4,FALSE)</f>
        <v>PER</v>
      </c>
    </row>
    <row r="51" ht="14.25" customHeight="1">
      <c r="B51" s="9">
        <v>31.0</v>
      </c>
      <c r="C51" s="1" t="s">
        <v>459</v>
      </c>
      <c r="E51" s="197" t="str">
        <f>VLOOKUP(C51,Groups!$AK$6:$AN$64,4,FALSE)</f>
        <v>PER</v>
      </c>
    </row>
    <row r="52" ht="14.25" customHeight="1">
      <c r="B52" s="9">
        <v>32.0</v>
      </c>
      <c r="C52" s="1" t="s">
        <v>461</v>
      </c>
      <c r="E52" s="197" t="str">
        <f>VLOOKUP(C52,Groups!$AK$6:$AN$64,4,FALSE)</f>
        <v>PER</v>
      </c>
    </row>
    <row r="53" ht="14.25" customHeight="1">
      <c r="B53" s="9">
        <v>33.0</v>
      </c>
      <c r="C53" s="1" t="s">
        <v>448</v>
      </c>
      <c r="E53" s="197" t="str">
        <f>VLOOKUP(C53,Groups!$AK$6:$AN$64,4,FALSE)</f>
        <v>STR</v>
      </c>
    </row>
    <row r="54" ht="14.25" customHeight="1">
      <c r="B54" s="9">
        <v>34.0</v>
      </c>
      <c r="C54" s="1" t="s">
        <v>457</v>
      </c>
      <c r="E54" s="197" t="str">
        <f>VLOOKUP(C54,Groups!$AK$6:$AN$64,4,FALSE)</f>
        <v>STR</v>
      </c>
    </row>
    <row r="55" ht="14.25" customHeight="1">
      <c r="B55" s="9">
        <v>35.0</v>
      </c>
      <c r="C55" s="1" t="s">
        <v>460</v>
      </c>
      <c r="E55" s="197" t="str">
        <f>VLOOKUP(C55,Groups!$AK$6:$AN$64,4,FALSE)</f>
        <v>STR</v>
      </c>
    </row>
    <row r="56" ht="14.25" customHeight="1">
      <c r="B56" s="9">
        <v>36.0</v>
      </c>
      <c r="C56" s="1" t="s">
        <v>473</v>
      </c>
      <c r="E56" s="197" t="str">
        <f>VLOOKUP(C56,Groups!$AK$6:$AN$64,4,FALSE)</f>
        <v>STR</v>
      </c>
    </row>
    <row r="57" ht="14.25" customHeight="1">
      <c r="B57" s="9">
        <v>37.0</v>
      </c>
      <c r="C57" s="1" t="s">
        <v>413</v>
      </c>
      <c r="E57" s="197" t="str">
        <f>VLOOKUP(C57,Groups!$AK$6:$AN$64,4,FALSE)</f>
        <v>STR</v>
      </c>
    </row>
    <row r="58" ht="14.25" customHeight="1">
      <c r="B58" s="9">
        <v>38.0</v>
      </c>
      <c r="C58" s="1" t="s">
        <v>437</v>
      </c>
      <c r="E58" s="197" t="str">
        <f>VLOOKUP(C58,Groups!$AK$6:$AN$64,4,FALSE)</f>
        <v>WIL</v>
      </c>
    </row>
    <row r="59" ht="14.25" customHeight="1">
      <c r="B59" s="9">
        <v>39.0</v>
      </c>
      <c r="C59" s="1" t="s">
        <v>409</v>
      </c>
      <c r="E59" s="197" t="str">
        <f>VLOOKUP(C59,Groups!$AK$6:$AN$64,4,FALSE)</f>
        <v>WIL</v>
      </c>
    </row>
    <row r="60" ht="14.25" customHeight="1">
      <c r="B60" s="9">
        <v>40.0</v>
      </c>
      <c r="C60" s="1" t="s">
        <v>454</v>
      </c>
      <c r="E60" s="197" t="str">
        <f>VLOOKUP(C60,Groups!$AK$6:$AN$64,4,FALSE)</f>
        <v>WIL</v>
      </c>
    </row>
    <row r="61" ht="14.25" customHeight="1">
      <c r="B61" s="9">
        <v>41.0</v>
      </c>
      <c r="C61" s="1" t="s">
        <v>472</v>
      </c>
      <c r="E61" s="197" t="str">
        <f>VLOOKUP(C61,Groups!$AK$6:$AN$64,4,FALSE)</f>
        <v>WIL</v>
      </c>
    </row>
    <row r="62" ht="14.25" customHeight="1">
      <c r="B62" s="9">
        <v>42.0</v>
      </c>
      <c r="C62" s="1" t="s">
        <v>456</v>
      </c>
      <c r="E62" s="197" t="str">
        <f>VLOOKUP(C62,Groups!$AK$6:$AN$64,4,FALSE)</f>
        <v>WIL</v>
      </c>
    </row>
    <row r="63" ht="14.25" customHeight="1">
      <c r="B63" s="9">
        <v>43.0</v>
      </c>
      <c r="C63" s="1" t="s">
        <v>476</v>
      </c>
      <c r="E63" s="197" t="str">
        <f>VLOOKUP(C63,Groups!$AK$6:$AN$64,4,FALSE)</f>
        <v>WIL</v>
      </c>
    </row>
    <row r="64" ht="14.25" customHeight="1">
      <c r="B64" s="9"/>
    </row>
    <row r="65" ht="14.25" customHeight="1">
      <c r="B65" s="9"/>
    </row>
    <row r="66" ht="14.25" customHeight="1">
      <c r="B66" s="9"/>
    </row>
    <row r="67" ht="14.25" customHeight="1">
      <c r="B67" s="9"/>
    </row>
    <row r="68" ht="14.25" customHeight="1">
      <c r="B68" s="9"/>
    </row>
    <row r="69" ht="14.25" customHeight="1">
      <c r="B69" s="9"/>
    </row>
    <row r="70" ht="14.25" customHeight="1">
      <c r="B70" s="9"/>
    </row>
    <row r="71" ht="14.25" customHeight="1">
      <c r="B71" s="9"/>
    </row>
    <row r="72" ht="14.25" customHeight="1">
      <c r="B72" s="9"/>
    </row>
    <row r="73" ht="14.25" customHeight="1">
      <c r="B73" s="9"/>
    </row>
    <row r="74" ht="14.25" customHeight="1">
      <c r="B74" s="9"/>
    </row>
    <row r="75" ht="14.25" customHeight="1">
      <c r="B75" s="9"/>
    </row>
    <row r="76" ht="14.25" customHeight="1">
      <c r="B76" s="9"/>
    </row>
    <row r="77" ht="14.25" customHeight="1">
      <c r="B77" s="9"/>
    </row>
    <row r="78" ht="14.25" customHeight="1">
      <c r="B78" s="9"/>
    </row>
    <row r="79" ht="14.25" customHeight="1">
      <c r="B79" s="9"/>
    </row>
    <row r="80" ht="14.25" customHeight="1">
      <c r="B80" s="9"/>
    </row>
    <row r="81" ht="14.25" customHeight="1">
      <c r="B81" s="9"/>
    </row>
    <row r="82" ht="14.25" customHeight="1">
      <c r="B82" s="9"/>
    </row>
    <row r="83" ht="14.25" customHeight="1">
      <c r="B83" s="9"/>
    </row>
    <row r="84" ht="14.25" customHeight="1">
      <c r="B84" s="9"/>
    </row>
    <row r="85" ht="14.25" customHeight="1">
      <c r="B85" s="9"/>
    </row>
    <row r="86" ht="14.25" customHeight="1">
      <c r="B86" s="9"/>
    </row>
    <row r="87" ht="14.25" customHeight="1">
      <c r="B87" s="9"/>
    </row>
    <row r="88" ht="14.25" customHeight="1">
      <c r="B88" s="9"/>
    </row>
    <row r="89" ht="14.25" customHeight="1">
      <c r="B89" s="9"/>
    </row>
    <row r="90" ht="14.25" customHeight="1">
      <c r="B90" s="9"/>
    </row>
    <row r="91" ht="14.25" customHeight="1">
      <c r="B91" s="9"/>
    </row>
    <row r="92" ht="14.25" customHeight="1">
      <c r="B92" s="9"/>
    </row>
    <row r="93" ht="14.25" customHeight="1">
      <c r="B93" s="9"/>
    </row>
    <row r="94" ht="14.25" customHeight="1">
      <c r="B94" s="9"/>
    </row>
    <row r="95" ht="14.25" customHeight="1">
      <c r="B95" s="9"/>
    </row>
    <row r="96" ht="14.25" customHeight="1">
      <c r="B96" s="9"/>
    </row>
    <row r="97" ht="14.25" customHeight="1">
      <c r="B97" s="9"/>
    </row>
    <row r="98" ht="14.25" customHeight="1">
      <c r="B98" s="9"/>
    </row>
    <row r="99" ht="14.25" customHeight="1">
      <c r="B99" s="9"/>
    </row>
    <row r="100" ht="14.25" customHeight="1">
      <c r="B100" s="9"/>
    </row>
    <row r="101" ht="14.25" customHeight="1">
      <c r="B101" s="9"/>
    </row>
    <row r="102" ht="14.25" customHeight="1">
      <c r="B102" s="9"/>
    </row>
    <row r="103" ht="14.25" customHeight="1">
      <c r="B103" s="9"/>
    </row>
    <row r="104" ht="14.25" customHeight="1">
      <c r="B104" s="9"/>
    </row>
    <row r="105" ht="14.25" customHeight="1">
      <c r="B105" s="9"/>
    </row>
    <row r="106" ht="14.25" customHeight="1">
      <c r="B106" s="9"/>
    </row>
    <row r="107" ht="14.25" customHeight="1">
      <c r="B107" s="9"/>
    </row>
    <row r="108" ht="14.25" customHeight="1">
      <c r="B108" s="9"/>
    </row>
    <row r="109" ht="14.25" customHeight="1">
      <c r="B109" s="9"/>
    </row>
    <row r="110" ht="14.25" customHeight="1">
      <c r="B110" s="9"/>
    </row>
    <row r="111" ht="14.25" customHeight="1">
      <c r="B111" s="9"/>
    </row>
    <row r="112" ht="14.25" customHeight="1">
      <c r="B112" s="9"/>
    </row>
    <row r="113" ht="14.25" customHeight="1">
      <c r="B113" s="9"/>
    </row>
    <row r="114" ht="14.25" customHeight="1">
      <c r="B114" s="9"/>
    </row>
    <row r="115" ht="14.25" customHeight="1">
      <c r="B115" s="9"/>
    </row>
    <row r="116" ht="14.25" customHeight="1">
      <c r="B116" s="9"/>
    </row>
    <row r="117" ht="14.25" customHeight="1">
      <c r="B117" s="9"/>
    </row>
    <row r="118" ht="14.25" customHeight="1">
      <c r="B118" s="9"/>
    </row>
    <row r="119" ht="14.25" customHeight="1">
      <c r="B119" s="9"/>
    </row>
    <row r="120" ht="14.25" customHeight="1">
      <c r="B120" s="9"/>
    </row>
    <row r="121" ht="14.25" customHeight="1">
      <c r="B121" s="9"/>
    </row>
    <row r="122" ht="14.25" customHeight="1">
      <c r="B122" s="9"/>
    </row>
    <row r="123" ht="14.25" customHeight="1">
      <c r="B123" s="9"/>
    </row>
    <row r="124" ht="14.25" customHeight="1">
      <c r="B124" s="9"/>
    </row>
    <row r="125" ht="14.25" customHeight="1">
      <c r="B125" s="9"/>
    </row>
    <row r="126" ht="14.25" customHeight="1">
      <c r="B126" s="9"/>
    </row>
    <row r="127" ht="14.25" customHeight="1">
      <c r="B127" s="9"/>
    </row>
    <row r="128" ht="14.25" customHeight="1">
      <c r="B128" s="9"/>
    </row>
    <row r="129" ht="14.25" customHeight="1">
      <c r="B129" s="9"/>
    </row>
    <row r="130" ht="14.25" customHeight="1">
      <c r="B130" s="9"/>
    </row>
    <row r="131" ht="14.25" customHeight="1">
      <c r="B131" s="9"/>
    </row>
    <row r="132" ht="14.25" customHeight="1">
      <c r="B132" s="9"/>
    </row>
    <row r="133" ht="14.25" customHeight="1">
      <c r="B133" s="9"/>
    </row>
    <row r="134" ht="14.25" customHeight="1">
      <c r="B134" s="9"/>
    </row>
    <row r="135" ht="14.25" customHeight="1">
      <c r="B135" s="9"/>
    </row>
    <row r="136" ht="14.25" customHeight="1">
      <c r="B136" s="9"/>
    </row>
    <row r="137" ht="14.25" customHeight="1">
      <c r="B137" s="9"/>
    </row>
    <row r="138" ht="14.25" customHeight="1">
      <c r="B138" s="9"/>
    </row>
    <row r="139" ht="14.25" customHeight="1">
      <c r="B139" s="9"/>
    </row>
    <row r="140" ht="14.25" customHeight="1">
      <c r="B140" s="9"/>
    </row>
    <row r="141" ht="14.25" customHeight="1">
      <c r="B141" s="9"/>
    </row>
    <row r="142" ht="14.25" customHeight="1">
      <c r="B142" s="9"/>
    </row>
    <row r="143" ht="14.25" customHeight="1">
      <c r="B143" s="9"/>
    </row>
    <row r="144" ht="14.25" customHeight="1">
      <c r="B144" s="9"/>
    </row>
    <row r="145" ht="14.25" customHeight="1">
      <c r="B145" s="9"/>
    </row>
    <row r="146" ht="14.25" customHeight="1">
      <c r="B146" s="9"/>
    </row>
    <row r="147" ht="14.25" customHeight="1">
      <c r="B147" s="9"/>
    </row>
    <row r="148" ht="14.25" customHeight="1">
      <c r="B148" s="9"/>
    </row>
    <row r="149" ht="14.25" customHeight="1">
      <c r="B149" s="9"/>
    </row>
    <row r="150" ht="14.25" customHeight="1">
      <c r="B150" s="9"/>
    </row>
    <row r="151" ht="14.25" customHeight="1">
      <c r="B151" s="9"/>
    </row>
    <row r="152" ht="14.25" customHeight="1">
      <c r="B152" s="9"/>
    </row>
    <row r="153" ht="14.25" customHeight="1">
      <c r="B153" s="9"/>
    </row>
    <row r="154" ht="14.25" customHeight="1">
      <c r="B154" s="9"/>
    </row>
    <row r="155" ht="14.25" customHeight="1">
      <c r="B155" s="9"/>
    </row>
    <row r="156" ht="14.25" customHeight="1">
      <c r="B156" s="9"/>
    </row>
    <row r="157" ht="14.25" customHeight="1">
      <c r="B157" s="9"/>
    </row>
    <row r="158" ht="14.25" customHeight="1">
      <c r="B158" s="9"/>
    </row>
    <row r="159" ht="14.25" customHeight="1">
      <c r="B159" s="9"/>
    </row>
    <row r="160" ht="14.25" customHeight="1">
      <c r="B160" s="9"/>
    </row>
    <row r="161" ht="14.25" customHeight="1">
      <c r="B161" s="9"/>
    </row>
    <row r="162" ht="14.25" customHeight="1">
      <c r="B162" s="9"/>
    </row>
    <row r="163" ht="14.25" customHeight="1">
      <c r="B163" s="9"/>
    </row>
    <row r="164" ht="14.25" customHeight="1">
      <c r="B164" s="9"/>
    </row>
    <row r="165" ht="14.25" customHeight="1">
      <c r="B165" s="9"/>
    </row>
    <row r="166" ht="14.25" customHeight="1">
      <c r="B166" s="9"/>
    </row>
    <row r="167" ht="14.25" customHeight="1">
      <c r="B167" s="9"/>
    </row>
    <row r="168" ht="14.25" customHeight="1">
      <c r="B168" s="9"/>
    </row>
    <row r="169" ht="14.25" customHeight="1">
      <c r="B169" s="9"/>
    </row>
    <row r="170" ht="14.25" customHeight="1">
      <c r="B170" s="9"/>
    </row>
    <row r="171" ht="14.25" customHeight="1">
      <c r="B171" s="9"/>
    </row>
    <row r="172" ht="14.25" customHeight="1">
      <c r="B172" s="9"/>
    </row>
    <row r="173" ht="14.25" customHeight="1">
      <c r="B173" s="9"/>
    </row>
    <row r="174" ht="14.25" customHeight="1">
      <c r="B174" s="9"/>
    </row>
    <row r="175" ht="14.25" customHeight="1">
      <c r="B175" s="9"/>
    </row>
    <row r="176" ht="14.25" customHeight="1">
      <c r="B176" s="9"/>
    </row>
    <row r="177" ht="14.25" customHeight="1">
      <c r="B177" s="9"/>
    </row>
    <row r="178" ht="14.25" customHeight="1">
      <c r="B178" s="9"/>
    </row>
    <row r="179" ht="14.25" customHeight="1">
      <c r="B179" s="9"/>
    </row>
    <row r="180" ht="14.25" customHeight="1">
      <c r="B180" s="9"/>
    </row>
    <row r="181" ht="14.25" customHeight="1">
      <c r="B181" s="9"/>
    </row>
    <row r="182" ht="14.25" customHeight="1">
      <c r="B182" s="9"/>
    </row>
    <row r="183" ht="14.25" customHeight="1">
      <c r="B183" s="9"/>
    </row>
    <row r="184" ht="14.25" customHeight="1">
      <c r="B184" s="9"/>
    </row>
    <row r="185" ht="14.25" customHeight="1">
      <c r="B185" s="9"/>
    </row>
    <row r="186" ht="14.25" customHeight="1">
      <c r="B186" s="9"/>
    </row>
    <row r="187" ht="14.25" customHeight="1">
      <c r="B187" s="9"/>
    </row>
    <row r="188" ht="14.25" customHeight="1">
      <c r="B188" s="9"/>
    </row>
    <row r="189" ht="14.25" customHeight="1">
      <c r="B189" s="9"/>
    </row>
    <row r="190" ht="14.25" customHeight="1">
      <c r="B190" s="9"/>
    </row>
    <row r="191" ht="14.25" customHeight="1">
      <c r="B191" s="9"/>
    </row>
    <row r="192" ht="14.25" customHeight="1">
      <c r="B192" s="9"/>
    </row>
    <row r="193" ht="14.25" customHeight="1">
      <c r="B193" s="9"/>
    </row>
    <row r="194" ht="14.25" customHeight="1">
      <c r="B194" s="9"/>
    </row>
    <row r="195" ht="14.25" customHeight="1">
      <c r="B195" s="9"/>
    </row>
    <row r="196" ht="14.25" customHeight="1">
      <c r="B196" s="9"/>
    </row>
    <row r="197" ht="14.25" customHeight="1">
      <c r="B197" s="9"/>
    </row>
    <row r="198" ht="14.25" customHeight="1">
      <c r="B198" s="9"/>
    </row>
    <row r="199" ht="14.25" customHeight="1">
      <c r="B199" s="9"/>
    </row>
    <row r="200" ht="14.25" customHeight="1">
      <c r="B200" s="9"/>
    </row>
    <row r="201" ht="14.25" customHeight="1">
      <c r="B201" s="9"/>
    </row>
    <row r="202" ht="14.25" customHeight="1">
      <c r="B202" s="9"/>
    </row>
    <row r="203" ht="14.25" customHeight="1">
      <c r="B203" s="9"/>
    </row>
    <row r="204" ht="14.25" customHeight="1">
      <c r="B204" s="9"/>
    </row>
    <row r="205" ht="14.25" customHeight="1">
      <c r="B205" s="9"/>
    </row>
    <row r="206" ht="14.25" customHeight="1">
      <c r="B206" s="9"/>
    </row>
    <row r="207" ht="14.25" customHeight="1">
      <c r="B207" s="9"/>
    </row>
    <row r="208" ht="14.25" customHeight="1">
      <c r="B208" s="9"/>
    </row>
    <row r="209" ht="14.25" customHeight="1">
      <c r="B209" s="9"/>
    </row>
    <row r="210" ht="14.25" customHeight="1">
      <c r="B210" s="9"/>
    </row>
    <row r="211" ht="14.25" customHeight="1">
      <c r="B211" s="9"/>
    </row>
    <row r="212" ht="14.25" customHeight="1">
      <c r="B212" s="9"/>
    </row>
    <row r="213" ht="14.25" customHeight="1">
      <c r="B213" s="9"/>
    </row>
    <row r="214" ht="14.25" customHeight="1">
      <c r="B214" s="9"/>
    </row>
    <row r="215" ht="14.25" customHeight="1">
      <c r="B215" s="9"/>
    </row>
    <row r="216" ht="14.25" customHeight="1">
      <c r="B216" s="9"/>
    </row>
    <row r="217" ht="14.25" customHeight="1">
      <c r="B217" s="9"/>
    </row>
    <row r="218" ht="14.25" customHeight="1">
      <c r="B218" s="9"/>
    </row>
    <row r="219" ht="14.25" customHeight="1">
      <c r="B219" s="9"/>
    </row>
    <row r="220" ht="14.25" customHeight="1">
      <c r="B220" s="9"/>
    </row>
    <row r="221" ht="14.25" customHeight="1">
      <c r="B221" s="9"/>
    </row>
    <row r="222" ht="14.25" customHeight="1">
      <c r="B222" s="9"/>
    </row>
    <row r="223" ht="14.25" customHeight="1">
      <c r="B223" s="9"/>
    </row>
    <row r="224" ht="14.25" customHeight="1">
      <c r="B224" s="9"/>
    </row>
    <row r="225" ht="14.25" customHeight="1">
      <c r="B225" s="9"/>
    </row>
    <row r="226" ht="14.25" customHeight="1">
      <c r="B226" s="9"/>
    </row>
    <row r="227" ht="14.25" customHeight="1">
      <c r="B227" s="9"/>
    </row>
    <row r="228" ht="14.25" customHeight="1">
      <c r="B228" s="9"/>
    </row>
    <row r="229" ht="14.25" customHeight="1">
      <c r="B229" s="9"/>
    </row>
    <row r="230" ht="14.25" customHeight="1">
      <c r="B230" s="9"/>
    </row>
    <row r="231" ht="14.25" customHeight="1">
      <c r="B231" s="9"/>
    </row>
    <row r="232" ht="14.25" customHeight="1">
      <c r="B232" s="9"/>
    </row>
    <row r="233" ht="14.25" customHeight="1">
      <c r="B233" s="9"/>
    </row>
    <row r="234" ht="14.25" customHeight="1">
      <c r="B234" s="9"/>
    </row>
    <row r="235" ht="14.25" customHeight="1">
      <c r="B235" s="9"/>
    </row>
    <row r="236" ht="14.25" customHeight="1">
      <c r="B236" s="9"/>
    </row>
    <row r="237" ht="14.25" customHeight="1">
      <c r="B237" s="9"/>
    </row>
    <row r="238" ht="14.25" customHeight="1">
      <c r="B238" s="9"/>
    </row>
    <row r="239" ht="14.25" customHeight="1">
      <c r="B239" s="9"/>
    </row>
    <row r="240" ht="14.25" customHeight="1">
      <c r="B240" s="9"/>
    </row>
    <row r="241" ht="14.25" customHeight="1">
      <c r="B241" s="9"/>
    </row>
    <row r="242" ht="14.25" customHeight="1">
      <c r="B242" s="9"/>
    </row>
    <row r="243" ht="14.25" customHeight="1">
      <c r="B243" s="9"/>
    </row>
    <row r="244" ht="14.25" customHeight="1">
      <c r="B244" s="9"/>
    </row>
    <row r="245" ht="14.25" customHeight="1">
      <c r="B245" s="9"/>
    </row>
    <row r="246" ht="14.25" customHeight="1">
      <c r="B246" s="9"/>
    </row>
    <row r="247" ht="14.25" customHeight="1">
      <c r="B247" s="9"/>
    </row>
    <row r="248" ht="14.25" customHeight="1">
      <c r="B248" s="9"/>
    </row>
    <row r="249" ht="14.25" customHeight="1">
      <c r="B249" s="9"/>
    </row>
    <row r="250" ht="14.25" customHeight="1">
      <c r="B250" s="9"/>
    </row>
    <row r="251" ht="14.25" customHeight="1">
      <c r="B251" s="9"/>
    </row>
    <row r="252" ht="14.25" customHeight="1">
      <c r="B252" s="9"/>
    </row>
    <row r="253" ht="14.25" customHeight="1">
      <c r="B253" s="9"/>
    </row>
    <row r="254" ht="14.25" customHeight="1">
      <c r="B254" s="9"/>
    </row>
    <row r="255" ht="14.25" customHeight="1">
      <c r="B255" s="9"/>
    </row>
    <row r="256" ht="14.25" customHeight="1">
      <c r="B256" s="9"/>
    </row>
    <row r="257" ht="14.25" customHeight="1">
      <c r="B257" s="9"/>
    </row>
    <row r="258" ht="14.25" customHeight="1">
      <c r="B258" s="9"/>
    </row>
    <row r="259" ht="14.25" customHeight="1">
      <c r="B259" s="9"/>
    </row>
    <row r="260" ht="14.25" customHeight="1">
      <c r="B260" s="9"/>
    </row>
    <row r="261" ht="14.25" customHeight="1">
      <c r="B261" s="9"/>
    </row>
    <row r="262" ht="14.25" customHeight="1">
      <c r="B262" s="9"/>
    </row>
    <row r="263" ht="14.25" customHeight="1">
      <c r="B263" s="9"/>
    </row>
    <row r="264" ht="14.25" customHeight="1">
      <c r="B264" s="9"/>
    </row>
    <row r="265" ht="14.25" customHeight="1">
      <c r="B265" s="9"/>
    </row>
    <row r="266" ht="14.25" customHeight="1">
      <c r="B266" s="9"/>
    </row>
    <row r="267" ht="14.25" customHeight="1">
      <c r="B267" s="9"/>
    </row>
    <row r="268" ht="14.25" customHeight="1">
      <c r="B268" s="9"/>
    </row>
    <row r="269" ht="14.25" customHeight="1">
      <c r="B269" s="9"/>
    </row>
    <row r="270" ht="14.25" customHeight="1">
      <c r="B270" s="9"/>
    </row>
    <row r="271" ht="14.25" customHeight="1">
      <c r="B271" s="9"/>
    </row>
    <row r="272" ht="14.25" customHeight="1">
      <c r="B272" s="9"/>
    </row>
    <row r="273" ht="14.25" customHeight="1">
      <c r="B273" s="9"/>
    </row>
    <row r="274" ht="14.25" customHeight="1">
      <c r="B274" s="9"/>
    </row>
    <row r="275" ht="14.25" customHeight="1">
      <c r="B275" s="9"/>
    </row>
    <row r="276" ht="14.25" customHeight="1">
      <c r="B276" s="9"/>
    </row>
    <row r="277" ht="14.25" customHeight="1">
      <c r="B277" s="9"/>
    </row>
    <row r="278" ht="14.25" customHeight="1">
      <c r="B278" s="9"/>
    </row>
    <row r="279" ht="14.25" customHeight="1">
      <c r="B279" s="9"/>
    </row>
    <row r="280" ht="14.25" customHeight="1">
      <c r="B280" s="9"/>
    </row>
    <row r="281" ht="14.25" customHeight="1">
      <c r="B281" s="9"/>
    </row>
    <row r="282" ht="14.25" customHeight="1">
      <c r="B282" s="9"/>
    </row>
    <row r="283" ht="14.25" customHeight="1">
      <c r="B283" s="9"/>
    </row>
    <row r="284" ht="14.25" customHeight="1">
      <c r="B284" s="9"/>
    </row>
    <row r="285" ht="14.25" customHeight="1">
      <c r="B285" s="9"/>
    </row>
    <row r="286" ht="14.25" customHeight="1">
      <c r="B286" s="9"/>
    </row>
    <row r="287" ht="14.25" customHeight="1">
      <c r="B287" s="9"/>
    </row>
    <row r="288" ht="14.25" customHeight="1">
      <c r="B288" s="9"/>
    </row>
    <row r="289" ht="14.25" customHeight="1">
      <c r="B289" s="9"/>
    </row>
    <row r="290" ht="14.25" customHeight="1">
      <c r="B290" s="9"/>
    </row>
    <row r="291" ht="14.25" customHeight="1">
      <c r="B291" s="9"/>
    </row>
    <row r="292" ht="14.25" customHeight="1">
      <c r="B292" s="9"/>
    </row>
    <row r="293" ht="14.25" customHeight="1">
      <c r="B293" s="9"/>
    </row>
    <row r="294" ht="14.25" customHeight="1">
      <c r="B294" s="9"/>
    </row>
    <row r="295" ht="14.25" customHeight="1">
      <c r="B295" s="9"/>
    </row>
    <row r="296" ht="14.25" customHeight="1">
      <c r="B296" s="9"/>
    </row>
    <row r="297" ht="14.25" customHeight="1">
      <c r="B297" s="9"/>
    </row>
    <row r="298" ht="14.25" customHeight="1">
      <c r="B298" s="9"/>
    </row>
    <row r="299" ht="14.25" customHeight="1">
      <c r="B299" s="9"/>
    </row>
    <row r="300" ht="14.25" customHeight="1">
      <c r="B300" s="9"/>
    </row>
    <row r="301" ht="14.25" customHeight="1">
      <c r="B301" s="9"/>
    </row>
    <row r="302" ht="14.25" customHeight="1">
      <c r="B302" s="9"/>
    </row>
    <row r="303" ht="14.25" customHeight="1">
      <c r="B303" s="9"/>
    </row>
    <row r="304" ht="14.25" customHeight="1">
      <c r="B304" s="9"/>
    </row>
    <row r="305" ht="14.25" customHeight="1">
      <c r="B305" s="9"/>
    </row>
    <row r="306" ht="14.25" customHeight="1">
      <c r="B306" s="9"/>
    </row>
    <row r="307" ht="14.25" customHeight="1">
      <c r="B307" s="9"/>
    </row>
    <row r="308" ht="14.25" customHeight="1">
      <c r="B308" s="9"/>
    </row>
    <row r="309" ht="14.25" customHeight="1">
      <c r="B309" s="9"/>
    </row>
    <row r="310" ht="14.25" customHeight="1">
      <c r="B310" s="9"/>
    </row>
    <row r="311" ht="14.25" customHeight="1">
      <c r="B311" s="9"/>
    </row>
    <row r="312" ht="14.25" customHeight="1">
      <c r="B312" s="9"/>
    </row>
    <row r="313" ht="14.25" customHeight="1">
      <c r="B313" s="9"/>
    </row>
    <row r="314" ht="14.25" customHeight="1">
      <c r="B314" s="9"/>
    </row>
    <row r="315" ht="14.25" customHeight="1">
      <c r="B315" s="9"/>
    </row>
    <row r="316" ht="14.25" customHeight="1">
      <c r="B316" s="9"/>
    </row>
    <row r="317" ht="14.25" customHeight="1">
      <c r="B317" s="9"/>
    </row>
    <row r="318" ht="14.25" customHeight="1">
      <c r="B318" s="9"/>
    </row>
    <row r="319" ht="14.25" customHeight="1">
      <c r="B319" s="9"/>
    </row>
    <row r="320" ht="14.25" customHeight="1">
      <c r="B320" s="9"/>
    </row>
    <row r="321" ht="14.25" customHeight="1">
      <c r="B321" s="9"/>
    </row>
    <row r="322" ht="14.25" customHeight="1">
      <c r="B322" s="9"/>
    </row>
    <row r="323" ht="14.25" customHeight="1">
      <c r="B323" s="9"/>
    </row>
    <row r="324" ht="14.25" customHeight="1">
      <c r="B324" s="9"/>
    </row>
    <row r="325" ht="14.25" customHeight="1">
      <c r="B325" s="9"/>
    </row>
    <row r="326" ht="14.25" customHeight="1">
      <c r="B326" s="9"/>
    </row>
    <row r="327" ht="14.25" customHeight="1">
      <c r="B327" s="9"/>
    </row>
    <row r="328" ht="14.25" customHeight="1">
      <c r="B328" s="9"/>
    </row>
    <row r="329" ht="14.25" customHeight="1">
      <c r="B329" s="9"/>
    </row>
    <row r="330" ht="14.25" customHeight="1">
      <c r="B330" s="9"/>
    </row>
    <row r="331" ht="14.25" customHeight="1">
      <c r="B331" s="9"/>
    </row>
    <row r="332" ht="14.25" customHeight="1">
      <c r="B332" s="9"/>
    </row>
    <row r="333" ht="14.25" customHeight="1">
      <c r="B333" s="9"/>
    </row>
    <row r="334" ht="14.25" customHeight="1">
      <c r="B334" s="9"/>
    </row>
    <row r="335" ht="14.25" customHeight="1">
      <c r="B335" s="9"/>
    </row>
    <row r="336" ht="14.25" customHeight="1">
      <c r="B336" s="9"/>
    </row>
    <row r="337" ht="14.25" customHeight="1">
      <c r="B337" s="9"/>
    </row>
    <row r="338" ht="14.25" customHeight="1">
      <c r="B338" s="9"/>
    </row>
    <row r="339" ht="14.25" customHeight="1">
      <c r="B339" s="9"/>
    </row>
    <row r="340" ht="14.25" customHeight="1">
      <c r="B340" s="9"/>
    </row>
    <row r="341" ht="14.25" customHeight="1">
      <c r="B341" s="9"/>
    </row>
    <row r="342" ht="14.25" customHeight="1">
      <c r="B342" s="9"/>
    </row>
    <row r="343" ht="14.25" customHeight="1">
      <c r="B343" s="9"/>
    </row>
    <row r="344" ht="14.25" customHeight="1">
      <c r="B344" s="9"/>
    </row>
    <row r="345" ht="14.25" customHeight="1">
      <c r="B345" s="9"/>
    </row>
    <row r="346" ht="14.25" customHeight="1">
      <c r="B346" s="9"/>
    </row>
    <row r="347" ht="14.25" customHeight="1">
      <c r="B347" s="9"/>
    </row>
    <row r="348" ht="14.25" customHeight="1">
      <c r="B348" s="9"/>
    </row>
    <row r="349" ht="14.25" customHeight="1">
      <c r="B349" s="9"/>
    </row>
    <row r="350" ht="14.25" customHeight="1">
      <c r="B350" s="9"/>
    </row>
    <row r="351" ht="14.25" customHeight="1">
      <c r="B351" s="9"/>
    </row>
    <row r="352" ht="14.25" customHeight="1">
      <c r="B352" s="9"/>
    </row>
    <row r="353" ht="14.25" customHeight="1">
      <c r="B353" s="9"/>
    </row>
    <row r="354" ht="14.25" customHeight="1">
      <c r="B354" s="9"/>
    </row>
    <row r="355" ht="14.25" customHeight="1">
      <c r="B355" s="9"/>
    </row>
    <row r="356" ht="14.25" customHeight="1">
      <c r="B356" s="9"/>
    </row>
    <row r="357" ht="14.25" customHeight="1">
      <c r="B357" s="9"/>
    </row>
    <row r="358" ht="14.25" customHeight="1">
      <c r="B358" s="9"/>
    </row>
    <row r="359" ht="14.25" customHeight="1">
      <c r="B359" s="9"/>
    </row>
    <row r="360" ht="14.25" customHeight="1">
      <c r="B360" s="9"/>
    </row>
    <row r="361" ht="14.25" customHeight="1">
      <c r="B361" s="9"/>
    </row>
    <row r="362" ht="14.25" customHeight="1">
      <c r="B362" s="9"/>
    </row>
    <row r="363" ht="14.25" customHeight="1">
      <c r="B363" s="9"/>
    </row>
    <row r="364" ht="14.25" customHeight="1">
      <c r="B364" s="9"/>
    </row>
    <row r="365" ht="14.25" customHeight="1">
      <c r="B365" s="9"/>
    </row>
    <row r="366" ht="14.25" customHeight="1">
      <c r="B366" s="9"/>
    </row>
    <row r="367" ht="14.25" customHeight="1">
      <c r="B367" s="9"/>
    </row>
    <row r="368" ht="14.25" customHeight="1">
      <c r="B368" s="9"/>
    </row>
    <row r="369" ht="14.25" customHeight="1">
      <c r="B369" s="9"/>
    </row>
    <row r="370" ht="14.25" customHeight="1">
      <c r="B370" s="9"/>
    </row>
    <row r="371" ht="14.25" customHeight="1">
      <c r="B371" s="9"/>
    </row>
    <row r="372" ht="14.25" customHeight="1">
      <c r="B372" s="9"/>
    </row>
    <row r="373" ht="14.25" customHeight="1">
      <c r="B373" s="9"/>
    </row>
    <row r="374" ht="14.25" customHeight="1">
      <c r="B374" s="9"/>
    </row>
    <row r="375" ht="14.25" customHeight="1">
      <c r="B375" s="9"/>
    </row>
    <row r="376" ht="14.25" customHeight="1">
      <c r="B376" s="9"/>
    </row>
    <row r="377" ht="14.25" customHeight="1">
      <c r="B377" s="9"/>
    </row>
    <row r="378" ht="14.25" customHeight="1">
      <c r="B378" s="9"/>
    </row>
    <row r="379" ht="14.25" customHeight="1">
      <c r="B379" s="9"/>
    </row>
    <row r="380" ht="14.25" customHeight="1">
      <c r="B380" s="9"/>
    </row>
    <row r="381" ht="14.25" customHeight="1">
      <c r="B381" s="9"/>
    </row>
    <row r="382" ht="14.25" customHeight="1">
      <c r="B382" s="9"/>
    </row>
    <row r="383" ht="14.25" customHeight="1">
      <c r="B383" s="9"/>
    </row>
    <row r="384" ht="14.25" customHeight="1">
      <c r="B384" s="9"/>
    </row>
    <row r="385" ht="14.25" customHeight="1">
      <c r="B385" s="9"/>
    </row>
    <row r="386" ht="14.25" customHeight="1">
      <c r="B386" s="9"/>
    </row>
    <row r="387" ht="14.25" customHeight="1">
      <c r="B387" s="9"/>
    </row>
    <row r="388" ht="14.25" customHeight="1">
      <c r="B388" s="9"/>
    </row>
    <row r="389" ht="14.25" customHeight="1">
      <c r="B389" s="9"/>
    </row>
    <row r="390" ht="14.25" customHeight="1">
      <c r="B390" s="9"/>
    </row>
    <row r="391" ht="14.25" customHeight="1">
      <c r="B391" s="9"/>
    </row>
    <row r="392" ht="14.25" customHeight="1">
      <c r="B392" s="9"/>
    </row>
    <row r="393" ht="14.25" customHeight="1">
      <c r="B393" s="9"/>
    </row>
    <row r="394" ht="14.25" customHeight="1">
      <c r="B394" s="9"/>
    </row>
    <row r="395" ht="14.25" customHeight="1">
      <c r="B395" s="9"/>
    </row>
    <row r="396" ht="14.25" customHeight="1">
      <c r="B396" s="9"/>
    </row>
    <row r="397" ht="14.25" customHeight="1">
      <c r="B397" s="9"/>
    </row>
    <row r="398" ht="14.25" customHeight="1">
      <c r="B398" s="9"/>
    </row>
    <row r="399" ht="14.25" customHeight="1">
      <c r="B399" s="9"/>
    </row>
    <row r="400" ht="14.25" customHeight="1">
      <c r="B400" s="9"/>
    </row>
    <row r="401" ht="14.25" customHeight="1">
      <c r="B401" s="9"/>
    </row>
    <row r="402" ht="14.25" customHeight="1">
      <c r="B402" s="9"/>
    </row>
    <row r="403" ht="14.25" customHeight="1">
      <c r="B403" s="9"/>
    </row>
    <row r="404" ht="14.25" customHeight="1">
      <c r="B404" s="9"/>
    </row>
    <row r="405" ht="14.25" customHeight="1">
      <c r="B405" s="9"/>
    </row>
    <row r="406" ht="14.25" customHeight="1">
      <c r="B406" s="9"/>
    </row>
    <row r="407" ht="14.25" customHeight="1">
      <c r="B407" s="9"/>
    </row>
    <row r="408" ht="14.25" customHeight="1">
      <c r="B408" s="9"/>
    </row>
    <row r="409" ht="14.25" customHeight="1">
      <c r="B409" s="9"/>
    </row>
    <row r="410" ht="14.25" customHeight="1">
      <c r="B410" s="9"/>
    </row>
    <row r="411" ht="14.25" customHeight="1">
      <c r="B411" s="9"/>
    </row>
    <row r="412" ht="14.25" customHeight="1">
      <c r="B412" s="9"/>
    </row>
    <row r="413" ht="14.25" customHeight="1">
      <c r="B413" s="9"/>
    </row>
    <row r="414" ht="14.25" customHeight="1">
      <c r="B414" s="9"/>
    </row>
    <row r="415" ht="14.25" customHeight="1">
      <c r="B415" s="9"/>
    </row>
    <row r="416" ht="14.25" customHeight="1">
      <c r="B416" s="9"/>
    </row>
    <row r="417" ht="14.25" customHeight="1">
      <c r="B417" s="9"/>
    </row>
    <row r="418" ht="14.25" customHeight="1">
      <c r="B418" s="9"/>
    </row>
    <row r="419" ht="14.25" customHeight="1">
      <c r="B419" s="9"/>
    </row>
    <row r="420" ht="14.25" customHeight="1">
      <c r="B420" s="9"/>
    </row>
    <row r="421" ht="14.25" customHeight="1">
      <c r="B421" s="9"/>
    </row>
    <row r="422" ht="14.25" customHeight="1">
      <c r="B422" s="9"/>
    </row>
    <row r="423" ht="14.25" customHeight="1">
      <c r="B423" s="9"/>
    </row>
    <row r="424" ht="14.25" customHeight="1">
      <c r="B424" s="9"/>
    </row>
    <row r="425" ht="14.25" customHeight="1">
      <c r="B425" s="9"/>
    </row>
    <row r="426" ht="14.25" customHeight="1">
      <c r="B426" s="9"/>
    </row>
    <row r="427" ht="14.25" customHeight="1">
      <c r="B427" s="9"/>
    </row>
    <row r="428" ht="14.25" customHeight="1">
      <c r="B428" s="9"/>
    </row>
    <row r="429" ht="14.25" customHeight="1">
      <c r="B429" s="9"/>
    </row>
    <row r="430" ht="14.25" customHeight="1">
      <c r="B430" s="9"/>
    </row>
    <row r="431" ht="14.25" customHeight="1">
      <c r="B431" s="9"/>
    </row>
    <row r="432" ht="14.25" customHeight="1">
      <c r="B432" s="9"/>
    </row>
    <row r="433" ht="14.25" customHeight="1">
      <c r="B433" s="9"/>
    </row>
    <row r="434" ht="14.25" customHeight="1">
      <c r="B434" s="9"/>
    </row>
    <row r="435" ht="14.25" customHeight="1">
      <c r="B435" s="9"/>
    </row>
    <row r="436" ht="14.25" customHeight="1">
      <c r="B436" s="9"/>
    </row>
    <row r="437" ht="14.25" customHeight="1">
      <c r="B437" s="9"/>
    </row>
    <row r="438" ht="14.25" customHeight="1">
      <c r="B438" s="9"/>
    </row>
    <row r="439" ht="14.25" customHeight="1">
      <c r="B439" s="9"/>
    </row>
    <row r="440" ht="14.25" customHeight="1">
      <c r="B440" s="9"/>
    </row>
    <row r="441" ht="14.25" customHeight="1">
      <c r="B441" s="9"/>
    </row>
    <row r="442" ht="14.25" customHeight="1">
      <c r="B442" s="9"/>
    </row>
    <row r="443" ht="14.25" customHeight="1">
      <c r="B443" s="9"/>
    </row>
    <row r="444" ht="14.25" customHeight="1">
      <c r="B444" s="9"/>
    </row>
    <row r="445" ht="14.25" customHeight="1">
      <c r="B445" s="9"/>
    </row>
    <row r="446" ht="14.25" customHeight="1">
      <c r="B446" s="9"/>
    </row>
    <row r="447" ht="14.25" customHeight="1">
      <c r="B447" s="9"/>
    </row>
    <row r="448" ht="14.25" customHeight="1">
      <c r="B448" s="9"/>
    </row>
    <row r="449" ht="14.25" customHeight="1">
      <c r="B449" s="9"/>
    </row>
    <row r="450" ht="14.25" customHeight="1">
      <c r="B450" s="9"/>
    </row>
    <row r="451" ht="14.25" customHeight="1">
      <c r="B451" s="9"/>
    </row>
    <row r="452" ht="14.25" customHeight="1">
      <c r="B452" s="9"/>
    </row>
    <row r="453" ht="14.25" customHeight="1">
      <c r="B453" s="9"/>
    </row>
    <row r="454" ht="14.25" customHeight="1">
      <c r="B454" s="9"/>
    </row>
    <row r="455" ht="14.25" customHeight="1">
      <c r="B455" s="9"/>
    </row>
    <row r="456" ht="14.25" customHeight="1">
      <c r="B456" s="9"/>
    </row>
    <row r="457" ht="14.25" customHeight="1">
      <c r="B457" s="9"/>
    </row>
    <row r="458" ht="14.25" customHeight="1">
      <c r="B458" s="9"/>
    </row>
    <row r="459" ht="14.25" customHeight="1">
      <c r="B459" s="9"/>
    </row>
    <row r="460" ht="14.25" customHeight="1">
      <c r="B460" s="9"/>
    </row>
    <row r="461" ht="14.25" customHeight="1">
      <c r="B461" s="9"/>
    </row>
    <row r="462" ht="14.25" customHeight="1">
      <c r="B462" s="9"/>
    </row>
    <row r="463" ht="14.25" customHeight="1">
      <c r="B463" s="9"/>
    </row>
    <row r="464" ht="14.25" customHeight="1">
      <c r="B464" s="9"/>
    </row>
    <row r="465" ht="14.25" customHeight="1">
      <c r="B465" s="9"/>
    </row>
    <row r="466" ht="14.25" customHeight="1">
      <c r="B466" s="9"/>
    </row>
    <row r="467" ht="14.25" customHeight="1">
      <c r="B467" s="9"/>
    </row>
    <row r="468" ht="14.25" customHeight="1">
      <c r="B468" s="9"/>
    </row>
    <row r="469" ht="14.25" customHeight="1">
      <c r="B469" s="9"/>
    </row>
    <row r="470" ht="14.25" customHeight="1">
      <c r="B470" s="9"/>
    </row>
    <row r="471" ht="14.25" customHeight="1">
      <c r="B471" s="9"/>
    </row>
    <row r="472" ht="14.25" customHeight="1">
      <c r="B472" s="9"/>
    </row>
    <row r="473" ht="14.25" customHeight="1">
      <c r="B473" s="9"/>
    </row>
    <row r="474" ht="14.25" customHeight="1">
      <c r="B474" s="9"/>
    </row>
    <row r="475" ht="14.25" customHeight="1">
      <c r="B475" s="9"/>
    </row>
    <row r="476" ht="14.25" customHeight="1">
      <c r="B476" s="9"/>
    </row>
    <row r="477" ht="14.25" customHeight="1">
      <c r="B477" s="9"/>
    </row>
    <row r="478" ht="14.25" customHeight="1">
      <c r="B478" s="9"/>
    </row>
    <row r="479" ht="14.25" customHeight="1">
      <c r="B479" s="9"/>
    </row>
    <row r="480" ht="14.25" customHeight="1">
      <c r="B480" s="9"/>
    </row>
    <row r="481" ht="14.25" customHeight="1">
      <c r="B481" s="9"/>
    </row>
    <row r="482" ht="14.25" customHeight="1">
      <c r="B482" s="9"/>
    </row>
    <row r="483" ht="14.25" customHeight="1">
      <c r="B483" s="9"/>
    </row>
    <row r="484" ht="14.25" customHeight="1">
      <c r="B484" s="9"/>
    </row>
    <row r="485" ht="14.25" customHeight="1">
      <c r="B485" s="9"/>
    </row>
    <row r="486" ht="14.25" customHeight="1">
      <c r="B486" s="9"/>
    </row>
    <row r="487" ht="14.25" customHeight="1">
      <c r="B487" s="9"/>
    </row>
    <row r="488" ht="14.25" customHeight="1">
      <c r="B488" s="9"/>
    </row>
    <row r="489" ht="14.25" customHeight="1">
      <c r="B489" s="9"/>
    </row>
    <row r="490" ht="14.25" customHeight="1">
      <c r="B490" s="9"/>
    </row>
    <row r="491" ht="14.25" customHeight="1">
      <c r="B491" s="9"/>
    </row>
    <row r="492" ht="14.25" customHeight="1">
      <c r="B492" s="9"/>
    </row>
    <row r="493" ht="14.25" customHeight="1">
      <c r="B493" s="9"/>
    </row>
    <row r="494" ht="14.25" customHeight="1">
      <c r="B494" s="9"/>
    </row>
    <row r="495" ht="14.25" customHeight="1">
      <c r="B495" s="9"/>
    </row>
    <row r="496" ht="14.25" customHeight="1">
      <c r="B496" s="9"/>
    </row>
    <row r="497" ht="14.25" customHeight="1">
      <c r="B497" s="9"/>
    </row>
    <row r="498" ht="14.25" customHeight="1">
      <c r="B498" s="9"/>
    </row>
    <row r="499" ht="14.25" customHeight="1">
      <c r="B499" s="9"/>
    </row>
    <row r="500" ht="14.25" customHeight="1">
      <c r="B500" s="9"/>
    </row>
    <row r="501" ht="14.25" customHeight="1">
      <c r="B501" s="9"/>
    </row>
    <row r="502" ht="14.25" customHeight="1">
      <c r="B502" s="9"/>
    </row>
    <row r="503" ht="14.25" customHeight="1">
      <c r="B503" s="9"/>
    </row>
    <row r="504" ht="14.25" customHeight="1">
      <c r="B504" s="9"/>
    </row>
    <row r="505" ht="14.25" customHeight="1">
      <c r="B505" s="9"/>
    </row>
    <row r="506" ht="14.25" customHeight="1">
      <c r="B506" s="9"/>
    </row>
    <row r="507" ht="14.25" customHeight="1">
      <c r="B507" s="9"/>
    </row>
    <row r="508" ht="14.25" customHeight="1">
      <c r="B508" s="9"/>
    </row>
    <row r="509" ht="14.25" customHeight="1">
      <c r="B509" s="9"/>
    </row>
    <row r="510" ht="14.25" customHeight="1">
      <c r="B510" s="9"/>
    </row>
    <row r="511" ht="14.25" customHeight="1">
      <c r="B511" s="9"/>
    </row>
    <row r="512" ht="14.25" customHeight="1">
      <c r="B512" s="9"/>
    </row>
    <row r="513" ht="14.25" customHeight="1">
      <c r="B513" s="9"/>
    </row>
    <row r="514" ht="14.25" customHeight="1">
      <c r="B514" s="9"/>
    </row>
    <row r="515" ht="14.25" customHeight="1">
      <c r="B515" s="9"/>
    </row>
    <row r="516" ht="14.25" customHeight="1">
      <c r="B516" s="9"/>
    </row>
    <row r="517" ht="14.25" customHeight="1">
      <c r="B517" s="9"/>
    </row>
    <row r="518" ht="14.25" customHeight="1">
      <c r="B518" s="9"/>
    </row>
    <row r="519" ht="14.25" customHeight="1">
      <c r="B519" s="9"/>
    </row>
    <row r="520" ht="14.25" customHeight="1">
      <c r="B520" s="9"/>
    </row>
    <row r="521" ht="14.25" customHeight="1">
      <c r="B521" s="9"/>
    </row>
    <row r="522" ht="14.25" customHeight="1">
      <c r="B522" s="9"/>
    </row>
    <row r="523" ht="14.25" customHeight="1">
      <c r="B523" s="9"/>
    </row>
    <row r="524" ht="14.25" customHeight="1">
      <c r="B524" s="9"/>
    </row>
    <row r="525" ht="14.25" customHeight="1">
      <c r="B525" s="9"/>
    </row>
    <row r="526" ht="14.25" customHeight="1">
      <c r="B526" s="9"/>
    </row>
    <row r="527" ht="14.25" customHeight="1">
      <c r="B527" s="9"/>
    </row>
    <row r="528" ht="14.25" customHeight="1">
      <c r="B528" s="9"/>
    </row>
    <row r="529" ht="14.25" customHeight="1">
      <c r="B529" s="9"/>
    </row>
    <row r="530" ht="14.25" customHeight="1">
      <c r="B530" s="9"/>
    </row>
    <row r="531" ht="14.25" customHeight="1">
      <c r="B531" s="9"/>
    </row>
    <row r="532" ht="14.25" customHeight="1">
      <c r="B532" s="9"/>
    </row>
    <row r="533" ht="14.25" customHeight="1">
      <c r="B533" s="9"/>
    </row>
    <row r="534" ht="14.25" customHeight="1">
      <c r="B534" s="9"/>
    </row>
    <row r="535" ht="14.25" customHeight="1">
      <c r="B535" s="9"/>
    </row>
    <row r="536" ht="14.25" customHeight="1">
      <c r="B536" s="9"/>
    </row>
    <row r="537" ht="14.25" customHeight="1">
      <c r="B537" s="9"/>
    </row>
    <row r="538" ht="14.25" customHeight="1">
      <c r="B538" s="9"/>
    </row>
    <row r="539" ht="14.25" customHeight="1">
      <c r="B539" s="9"/>
    </row>
    <row r="540" ht="14.25" customHeight="1">
      <c r="B540" s="9"/>
    </row>
    <row r="541" ht="14.25" customHeight="1">
      <c r="B541" s="9"/>
    </row>
    <row r="542" ht="14.25" customHeight="1">
      <c r="B542" s="9"/>
    </row>
    <row r="543" ht="14.25" customHeight="1">
      <c r="B543" s="9"/>
    </row>
    <row r="544" ht="14.25" customHeight="1">
      <c r="B544" s="9"/>
    </row>
    <row r="545" ht="14.25" customHeight="1">
      <c r="B545" s="9"/>
    </row>
    <row r="546" ht="14.25" customHeight="1">
      <c r="B546" s="9"/>
    </row>
    <row r="547" ht="14.25" customHeight="1">
      <c r="B547" s="9"/>
    </row>
    <row r="548" ht="14.25" customHeight="1">
      <c r="B548" s="9"/>
    </row>
    <row r="549" ht="14.25" customHeight="1">
      <c r="B549" s="9"/>
    </row>
    <row r="550" ht="14.25" customHeight="1">
      <c r="B550" s="9"/>
    </row>
    <row r="551" ht="14.25" customHeight="1">
      <c r="B551" s="9"/>
    </row>
    <row r="552" ht="14.25" customHeight="1">
      <c r="B552" s="9"/>
    </row>
    <row r="553" ht="14.25" customHeight="1">
      <c r="B553" s="9"/>
    </row>
    <row r="554" ht="14.25" customHeight="1">
      <c r="B554" s="9"/>
    </row>
    <row r="555" ht="14.25" customHeight="1">
      <c r="B555" s="9"/>
    </row>
    <row r="556" ht="14.25" customHeight="1">
      <c r="B556" s="9"/>
    </row>
    <row r="557" ht="14.25" customHeight="1">
      <c r="B557" s="9"/>
    </row>
    <row r="558" ht="14.25" customHeight="1">
      <c r="B558" s="9"/>
    </row>
    <row r="559" ht="14.25" customHeight="1">
      <c r="B559" s="9"/>
    </row>
    <row r="560" ht="14.25" customHeight="1">
      <c r="B560" s="9"/>
    </row>
    <row r="561" ht="14.25" customHeight="1">
      <c r="B561" s="9"/>
    </row>
    <row r="562" ht="14.25" customHeight="1">
      <c r="B562" s="9"/>
    </row>
    <row r="563" ht="14.25" customHeight="1">
      <c r="B563" s="9"/>
    </row>
    <row r="564" ht="14.25" customHeight="1">
      <c r="B564" s="9"/>
    </row>
    <row r="565" ht="14.25" customHeight="1">
      <c r="B565" s="9"/>
    </row>
    <row r="566" ht="14.25" customHeight="1">
      <c r="B566" s="9"/>
    </row>
    <row r="567" ht="14.25" customHeight="1">
      <c r="B567" s="9"/>
    </row>
    <row r="568" ht="14.25" customHeight="1">
      <c r="B568" s="9"/>
    </row>
    <row r="569" ht="14.25" customHeight="1">
      <c r="B569" s="9"/>
    </row>
    <row r="570" ht="14.25" customHeight="1">
      <c r="B570" s="9"/>
    </row>
    <row r="571" ht="14.25" customHeight="1">
      <c r="B571" s="9"/>
    </row>
    <row r="572" ht="14.25" customHeight="1">
      <c r="B572" s="9"/>
    </row>
    <row r="573" ht="14.25" customHeight="1">
      <c r="B573" s="9"/>
    </row>
    <row r="574" ht="14.25" customHeight="1">
      <c r="B574" s="9"/>
    </row>
    <row r="575" ht="14.25" customHeight="1">
      <c r="B575" s="9"/>
    </row>
    <row r="576" ht="14.25" customHeight="1">
      <c r="B576" s="9"/>
    </row>
    <row r="577" ht="14.25" customHeight="1">
      <c r="B577" s="9"/>
    </row>
    <row r="578" ht="14.25" customHeight="1">
      <c r="B578" s="9"/>
    </row>
    <row r="579" ht="14.25" customHeight="1">
      <c r="B579" s="9"/>
    </row>
    <row r="580" ht="14.25" customHeight="1">
      <c r="B580" s="9"/>
    </row>
    <row r="581" ht="14.25" customHeight="1">
      <c r="B581" s="9"/>
    </row>
    <row r="582" ht="14.25" customHeight="1">
      <c r="B582" s="9"/>
    </row>
    <row r="583" ht="14.25" customHeight="1">
      <c r="B583" s="9"/>
    </row>
    <row r="584" ht="14.25" customHeight="1">
      <c r="B584" s="9"/>
    </row>
    <row r="585" ht="14.25" customHeight="1">
      <c r="B585" s="9"/>
    </row>
    <row r="586" ht="14.25" customHeight="1">
      <c r="B586" s="9"/>
    </row>
    <row r="587" ht="14.25" customHeight="1">
      <c r="B587" s="9"/>
    </row>
    <row r="588" ht="14.25" customHeight="1">
      <c r="B588" s="9"/>
    </row>
    <row r="589" ht="14.25" customHeight="1">
      <c r="B589" s="9"/>
    </row>
    <row r="590" ht="14.25" customHeight="1">
      <c r="B590" s="9"/>
    </row>
    <row r="591" ht="14.25" customHeight="1">
      <c r="B591" s="9"/>
    </row>
    <row r="592" ht="14.25" customHeight="1">
      <c r="B592" s="9"/>
    </row>
    <row r="593" ht="14.25" customHeight="1">
      <c r="B593" s="9"/>
    </row>
    <row r="594" ht="14.25" customHeight="1">
      <c r="B594" s="9"/>
    </row>
    <row r="595" ht="14.25" customHeight="1">
      <c r="B595" s="9"/>
    </row>
    <row r="596" ht="14.25" customHeight="1">
      <c r="B596" s="9"/>
    </row>
    <row r="597" ht="14.25" customHeight="1">
      <c r="B597" s="9"/>
    </row>
    <row r="598" ht="14.25" customHeight="1">
      <c r="B598" s="9"/>
    </row>
    <row r="599" ht="14.25" customHeight="1">
      <c r="B599" s="9"/>
    </row>
    <row r="600" ht="14.25" customHeight="1">
      <c r="B600" s="9"/>
    </row>
    <row r="601" ht="14.25" customHeight="1">
      <c r="B601" s="9"/>
    </row>
    <row r="602" ht="14.25" customHeight="1">
      <c r="B602" s="9"/>
    </row>
    <row r="603" ht="14.25" customHeight="1">
      <c r="B603" s="9"/>
    </row>
    <row r="604" ht="14.25" customHeight="1">
      <c r="B604" s="9"/>
    </row>
    <row r="605" ht="14.25" customHeight="1">
      <c r="B605" s="9"/>
    </row>
    <row r="606" ht="14.25" customHeight="1">
      <c r="B606" s="9"/>
    </row>
    <row r="607" ht="14.25" customHeight="1">
      <c r="B607" s="9"/>
    </row>
    <row r="608" ht="14.25" customHeight="1">
      <c r="B608" s="9"/>
    </row>
    <row r="609" ht="14.25" customHeight="1">
      <c r="B609" s="9"/>
    </row>
    <row r="610" ht="14.25" customHeight="1">
      <c r="B610" s="9"/>
    </row>
    <row r="611" ht="14.25" customHeight="1">
      <c r="B611" s="9"/>
    </row>
    <row r="612" ht="14.25" customHeight="1">
      <c r="B612" s="9"/>
    </row>
    <row r="613" ht="14.25" customHeight="1">
      <c r="B613" s="9"/>
    </row>
    <row r="614" ht="14.25" customHeight="1">
      <c r="B614" s="9"/>
    </row>
    <row r="615" ht="14.25" customHeight="1">
      <c r="B615" s="9"/>
    </row>
    <row r="616" ht="14.25" customHeight="1">
      <c r="B616" s="9"/>
    </row>
    <row r="617" ht="14.25" customHeight="1">
      <c r="B617" s="9"/>
    </row>
    <row r="618" ht="14.25" customHeight="1">
      <c r="B618" s="9"/>
    </row>
    <row r="619" ht="14.25" customHeight="1">
      <c r="B619" s="9"/>
    </row>
    <row r="620" ht="14.25" customHeight="1">
      <c r="B620" s="9"/>
    </row>
    <row r="621" ht="14.25" customHeight="1">
      <c r="B621" s="9"/>
    </row>
    <row r="622" ht="14.25" customHeight="1">
      <c r="B622" s="9"/>
    </row>
    <row r="623" ht="14.25" customHeight="1">
      <c r="B623" s="9"/>
    </row>
    <row r="624" ht="14.25" customHeight="1">
      <c r="B624" s="9"/>
    </row>
    <row r="625" ht="14.25" customHeight="1">
      <c r="B625" s="9"/>
    </row>
    <row r="626" ht="14.25" customHeight="1">
      <c r="B626" s="9"/>
    </row>
    <row r="627" ht="14.25" customHeight="1">
      <c r="B627" s="9"/>
    </row>
    <row r="628" ht="14.25" customHeight="1">
      <c r="B628" s="9"/>
    </row>
    <row r="629" ht="14.25" customHeight="1">
      <c r="B629" s="9"/>
    </row>
    <row r="630" ht="14.25" customHeight="1">
      <c r="B630" s="9"/>
    </row>
    <row r="631" ht="14.25" customHeight="1">
      <c r="B631" s="9"/>
    </row>
    <row r="632" ht="14.25" customHeight="1">
      <c r="B632" s="9"/>
    </row>
    <row r="633" ht="14.25" customHeight="1">
      <c r="B633" s="9"/>
    </row>
    <row r="634" ht="14.25" customHeight="1">
      <c r="B634" s="9"/>
    </row>
    <row r="635" ht="14.25" customHeight="1">
      <c r="B635" s="9"/>
    </row>
    <row r="636" ht="14.25" customHeight="1">
      <c r="B636" s="9"/>
    </row>
    <row r="637" ht="14.25" customHeight="1">
      <c r="B637" s="9"/>
    </row>
    <row r="638" ht="14.25" customHeight="1">
      <c r="B638" s="9"/>
    </row>
    <row r="639" ht="14.25" customHeight="1">
      <c r="B639" s="9"/>
    </row>
    <row r="640" ht="14.25" customHeight="1">
      <c r="B640" s="9"/>
    </row>
    <row r="641" ht="14.25" customHeight="1">
      <c r="B641" s="9"/>
    </row>
    <row r="642" ht="14.25" customHeight="1">
      <c r="B642" s="9"/>
    </row>
    <row r="643" ht="14.25" customHeight="1">
      <c r="B643" s="9"/>
    </row>
    <row r="644" ht="14.25" customHeight="1">
      <c r="B644" s="9"/>
    </row>
    <row r="645" ht="14.25" customHeight="1">
      <c r="B645" s="9"/>
    </row>
    <row r="646" ht="14.25" customHeight="1">
      <c r="B646" s="9"/>
    </row>
    <row r="647" ht="14.25" customHeight="1">
      <c r="B647" s="9"/>
    </row>
    <row r="648" ht="14.25" customHeight="1">
      <c r="B648" s="9"/>
    </row>
    <row r="649" ht="14.25" customHeight="1">
      <c r="B649" s="9"/>
    </row>
    <row r="650" ht="14.25" customHeight="1">
      <c r="B650" s="9"/>
    </row>
    <row r="651" ht="14.25" customHeight="1">
      <c r="B651" s="9"/>
    </row>
    <row r="652" ht="14.25" customHeight="1">
      <c r="B652" s="9"/>
    </row>
    <row r="653" ht="14.25" customHeight="1">
      <c r="B653" s="9"/>
    </row>
    <row r="654" ht="14.25" customHeight="1">
      <c r="B654" s="9"/>
    </row>
    <row r="655" ht="14.25" customHeight="1">
      <c r="B655" s="9"/>
    </row>
    <row r="656" ht="14.25" customHeight="1">
      <c r="B656" s="9"/>
    </row>
    <row r="657" ht="14.25" customHeight="1">
      <c r="B657" s="9"/>
    </row>
    <row r="658" ht="14.25" customHeight="1">
      <c r="B658" s="9"/>
    </row>
    <row r="659" ht="14.25" customHeight="1">
      <c r="B659" s="9"/>
    </row>
    <row r="660" ht="14.25" customHeight="1">
      <c r="B660" s="9"/>
    </row>
    <row r="661" ht="14.25" customHeight="1">
      <c r="B661" s="9"/>
    </row>
    <row r="662" ht="14.25" customHeight="1">
      <c r="B662" s="9"/>
    </row>
    <row r="663" ht="14.25" customHeight="1">
      <c r="B663" s="9"/>
    </row>
    <row r="664" ht="14.25" customHeight="1">
      <c r="B664" s="9"/>
    </row>
    <row r="665" ht="14.25" customHeight="1">
      <c r="B665" s="9"/>
    </row>
    <row r="666" ht="14.25" customHeight="1">
      <c r="B666" s="9"/>
    </row>
    <row r="667" ht="14.25" customHeight="1">
      <c r="B667" s="9"/>
    </row>
    <row r="668" ht="14.25" customHeight="1">
      <c r="B668" s="9"/>
    </row>
    <row r="669" ht="14.25" customHeight="1">
      <c r="B669" s="9"/>
    </row>
    <row r="670" ht="14.25" customHeight="1">
      <c r="B670" s="9"/>
    </row>
    <row r="671" ht="14.25" customHeight="1">
      <c r="B671" s="9"/>
    </row>
    <row r="672" ht="14.25" customHeight="1">
      <c r="B672" s="9"/>
    </row>
    <row r="673" ht="14.25" customHeight="1">
      <c r="B673" s="9"/>
    </row>
    <row r="674" ht="14.25" customHeight="1">
      <c r="B674" s="9"/>
    </row>
    <row r="675" ht="14.25" customHeight="1">
      <c r="B675" s="9"/>
    </row>
    <row r="676" ht="14.25" customHeight="1">
      <c r="B676" s="9"/>
    </row>
    <row r="677" ht="14.25" customHeight="1">
      <c r="B677" s="9"/>
    </row>
    <row r="678" ht="14.25" customHeight="1">
      <c r="B678" s="9"/>
    </row>
    <row r="679" ht="14.25" customHeight="1">
      <c r="B679" s="9"/>
    </row>
    <row r="680" ht="14.25" customHeight="1">
      <c r="B680" s="9"/>
    </row>
    <row r="681" ht="14.25" customHeight="1">
      <c r="B681" s="9"/>
    </row>
    <row r="682" ht="14.25" customHeight="1">
      <c r="B682" s="9"/>
    </row>
    <row r="683" ht="14.25" customHeight="1">
      <c r="B683" s="9"/>
    </row>
    <row r="684" ht="14.25" customHeight="1">
      <c r="B684" s="9"/>
    </row>
    <row r="685" ht="14.25" customHeight="1">
      <c r="B685" s="9"/>
    </row>
    <row r="686" ht="14.25" customHeight="1">
      <c r="B686" s="9"/>
    </row>
    <row r="687" ht="14.25" customHeight="1">
      <c r="B687" s="9"/>
    </row>
    <row r="688" ht="14.25" customHeight="1">
      <c r="B688" s="9"/>
    </row>
    <row r="689" ht="14.25" customHeight="1">
      <c r="B689" s="9"/>
    </row>
    <row r="690" ht="14.25" customHeight="1">
      <c r="B690" s="9"/>
    </row>
    <row r="691" ht="14.25" customHeight="1">
      <c r="B691" s="9"/>
    </row>
    <row r="692" ht="14.25" customHeight="1">
      <c r="B692" s="9"/>
    </row>
    <row r="693" ht="14.25" customHeight="1">
      <c r="B693" s="9"/>
    </row>
    <row r="694" ht="14.25" customHeight="1">
      <c r="B694" s="9"/>
    </row>
    <row r="695" ht="14.25" customHeight="1">
      <c r="B695" s="9"/>
    </row>
    <row r="696" ht="14.25" customHeight="1">
      <c r="B696" s="9"/>
    </row>
    <row r="697" ht="14.25" customHeight="1">
      <c r="B697" s="9"/>
    </row>
    <row r="698" ht="14.25" customHeight="1">
      <c r="B698" s="9"/>
    </row>
    <row r="699" ht="14.25" customHeight="1">
      <c r="B699" s="9"/>
    </row>
    <row r="700" ht="14.25" customHeight="1">
      <c r="B700" s="9"/>
    </row>
    <row r="701" ht="14.25" customHeight="1">
      <c r="B701" s="9"/>
    </row>
    <row r="702" ht="14.25" customHeight="1">
      <c r="B702" s="9"/>
    </row>
    <row r="703" ht="14.25" customHeight="1">
      <c r="B703" s="9"/>
    </row>
    <row r="704" ht="14.25" customHeight="1">
      <c r="B704" s="9"/>
    </row>
    <row r="705" ht="14.25" customHeight="1">
      <c r="B705" s="9"/>
    </row>
    <row r="706" ht="14.25" customHeight="1">
      <c r="B706" s="9"/>
    </row>
    <row r="707" ht="14.25" customHeight="1">
      <c r="B707" s="9"/>
    </row>
    <row r="708" ht="14.25" customHeight="1">
      <c r="B708" s="9"/>
    </row>
    <row r="709" ht="14.25" customHeight="1">
      <c r="B709" s="9"/>
    </row>
    <row r="710" ht="14.25" customHeight="1">
      <c r="B710" s="9"/>
    </row>
    <row r="711" ht="14.25" customHeight="1">
      <c r="B711" s="9"/>
    </row>
    <row r="712" ht="14.25" customHeight="1">
      <c r="B712" s="9"/>
    </row>
    <row r="713" ht="14.25" customHeight="1">
      <c r="B713" s="9"/>
    </row>
    <row r="714" ht="14.25" customHeight="1">
      <c r="B714" s="9"/>
    </row>
    <row r="715" ht="14.25" customHeight="1">
      <c r="B715" s="9"/>
    </row>
    <row r="716" ht="14.25" customHeight="1">
      <c r="B716" s="9"/>
    </row>
    <row r="717" ht="14.25" customHeight="1">
      <c r="B717" s="9"/>
    </row>
    <row r="718" ht="14.25" customHeight="1">
      <c r="B718" s="9"/>
    </row>
    <row r="719" ht="14.25" customHeight="1">
      <c r="B719" s="9"/>
    </row>
    <row r="720" ht="14.25" customHeight="1">
      <c r="B720" s="9"/>
    </row>
    <row r="721" ht="14.25" customHeight="1">
      <c r="B721" s="9"/>
    </row>
    <row r="722" ht="14.25" customHeight="1">
      <c r="B722" s="9"/>
    </row>
    <row r="723" ht="14.25" customHeight="1">
      <c r="B723" s="9"/>
    </row>
    <row r="724" ht="14.25" customHeight="1">
      <c r="B724" s="9"/>
    </row>
    <row r="725" ht="14.25" customHeight="1">
      <c r="B725" s="9"/>
    </row>
    <row r="726" ht="14.25" customHeight="1">
      <c r="B726" s="9"/>
    </row>
    <row r="727" ht="14.25" customHeight="1">
      <c r="B727" s="9"/>
    </row>
    <row r="728" ht="14.25" customHeight="1">
      <c r="B728" s="9"/>
    </row>
    <row r="729" ht="14.25" customHeight="1">
      <c r="B729" s="9"/>
    </row>
    <row r="730" ht="14.25" customHeight="1">
      <c r="B730" s="9"/>
    </row>
    <row r="731" ht="14.25" customHeight="1">
      <c r="B731" s="9"/>
    </row>
    <row r="732" ht="14.25" customHeight="1">
      <c r="B732" s="9"/>
    </row>
    <row r="733" ht="14.25" customHeight="1">
      <c r="B733" s="9"/>
    </row>
    <row r="734" ht="14.25" customHeight="1">
      <c r="B734" s="9"/>
    </row>
    <row r="735" ht="14.25" customHeight="1">
      <c r="B735" s="9"/>
    </row>
    <row r="736" ht="14.25" customHeight="1">
      <c r="B736" s="9"/>
    </row>
    <row r="737" ht="14.25" customHeight="1">
      <c r="B737" s="9"/>
    </row>
    <row r="738" ht="14.25" customHeight="1">
      <c r="B738" s="9"/>
    </row>
    <row r="739" ht="14.25" customHeight="1">
      <c r="B739" s="9"/>
    </row>
    <row r="740" ht="14.25" customHeight="1">
      <c r="B740" s="9"/>
    </row>
    <row r="741" ht="14.25" customHeight="1">
      <c r="B741" s="9"/>
    </row>
    <row r="742" ht="14.25" customHeight="1">
      <c r="B742" s="9"/>
    </row>
    <row r="743" ht="14.25" customHeight="1">
      <c r="B743" s="9"/>
    </row>
    <row r="744" ht="14.25" customHeight="1">
      <c r="B744" s="9"/>
    </row>
    <row r="745" ht="14.25" customHeight="1">
      <c r="B745" s="9"/>
    </row>
    <row r="746" ht="14.25" customHeight="1">
      <c r="B746" s="9"/>
    </row>
    <row r="747" ht="14.25" customHeight="1">
      <c r="B747" s="9"/>
    </row>
    <row r="748" ht="14.25" customHeight="1">
      <c r="B748" s="9"/>
    </row>
    <row r="749" ht="14.25" customHeight="1">
      <c r="B749" s="9"/>
    </row>
    <row r="750" ht="14.25" customHeight="1">
      <c r="B750" s="9"/>
    </row>
    <row r="751" ht="14.25" customHeight="1">
      <c r="B751" s="9"/>
    </row>
    <row r="752" ht="14.25" customHeight="1">
      <c r="B752" s="9"/>
    </row>
    <row r="753" ht="14.25" customHeight="1">
      <c r="B753" s="9"/>
    </row>
    <row r="754" ht="14.25" customHeight="1">
      <c r="B754" s="9"/>
    </row>
    <row r="755" ht="14.25" customHeight="1">
      <c r="B755" s="9"/>
    </row>
    <row r="756" ht="14.25" customHeight="1">
      <c r="B756" s="9"/>
    </row>
    <row r="757" ht="14.25" customHeight="1">
      <c r="B757" s="9"/>
    </row>
    <row r="758" ht="14.25" customHeight="1">
      <c r="B758" s="9"/>
    </row>
    <row r="759" ht="14.25" customHeight="1">
      <c r="B759" s="9"/>
    </row>
    <row r="760" ht="14.25" customHeight="1">
      <c r="B760" s="9"/>
    </row>
    <row r="761" ht="14.25" customHeight="1">
      <c r="B761" s="9"/>
    </row>
    <row r="762" ht="14.25" customHeight="1">
      <c r="B762" s="9"/>
    </row>
    <row r="763" ht="14.25" customHeight="1">
      <c r="B763" s="9"/>
    </row>
    <row r="764" ht="14.25" customHeight="1">
      <c r="B764" s="9"/>
    </row>
    <row r="765" ht="14.25" customHeight="1">
      <c r="B765" s="9"/>
    </row>
    <row r="766" ht="14.25" customHeight="1">
      <c r="B766" s="9"/>
    </row>
    <row r="767" ht="14.25" customHeight="1">
      <c r="B767" s="9"/>
    </row>
    <row r="768" ht="14.25" customHeight="1">
      <c r="B768" s="9"/>
    </row>
    <row r="769" ht="14.25" customHeight="1">
      <c r="B769" s="9"/>
    </row>
    <row r="770" ht="14.25" customHeight="1">
      <c r="B770" s="9"/>
    </row>
    <row r="771" ht="14.25" customHeight="1">
      <c r="B771" s="9"/>
    </row>
    <row r="772" ht="14.25" customHeight="1">
      <c r="B772" s="9"/>
    </row>
    <row r="773" ht="14.25" customHeight="1">
      <c r="B773" s="9"/>
    </row>
    <row r="774" ht="14.25" customHeight="1">
      <c r="B774" s="9"/>
    </row>
    <row r="775" ht="14.25" customHeight="1">
      <c r="B775" s="9"/>
    </row>
    <row r="776" ht="14.25" customHeight="1">
      <c r="B776" s="9"/>
    </row>
    <row r="777" ht="14.25" customHeight="1">
      <c r="B777" s="9"/>
    </row>
    <row r="778" ht="14.25" customHeight="1">
      <c r="B778" s="9"/>
    </row>
    <row r="779" ht="14.25" customHeight="1">
      <c r="B779" s="9"/>
    </row>
    <row r="780" ht="14.25" customHeight="1">
      <c r="B780" s="9"/>
    </row>
    <row r="781" ht="14.25" customHeight="1">
      <c r="B781" s="9"/>
    </row>
    <row r="782" ht="14.25" customHeight="1">
      <c r="B782" s="9"/>
    </row>
    <row r="783" ht="14.25" customHeight="1">
      <c r="B783" s="9"/>
    </row>
    <row r="784" ht="14.25" customHeight="1">
      <c r="B784" s="9"/>
    </row>
    <row r="785" ht="14.25" customHeight="1">
      <c r="B785" s="9"/>
    </row>
    <row r="786" ht="14.25" customHeight="1">
      <c r="B786" s="9"/>
    </row>
    <row r="787" ht="14.25" customHeight="1">
      <c r="B787" s="9"/>
    </row>
    <row r="788" ht="14.25" customHeight="1">
      <c r="B788" s="9"/>
    </row>
    <row r="789" ht="14.25" customHeight="1">
      <c r="B789" s="9"/>
    </row>
    <row r="790" ht="14.25" customHeight="1">
      <c r="B790" s="9"/>
    </row>
    <row r="791" ht="14.25" customHeight="1">
      <c r="B791" s="9"/>
    </row>
    <row r="792" ht="14.25" customHeight="1">
      <c r="B792" s="9"/>
    </row>
    <row r="793" ht="14.25" customHeight="1">
      <c r="B793" s="9"/>
    </row>
    <row r="794" ht="14.25" customHeight="1">
      <c r="B794" s="9"/>
    </row>
    <row r="795" ht="14.25" customHeight="1">
      <c r="B795" s="9"/>
    </row>
    <row r="796" ht="14.25" customHeight="1">
      <c r="B796" s="9"/>
    </row>
    <row r="797" ht="14.25" customHeight="1">
      <c r="B797" s="9"/>
    </row>
    <row r="798" ht="14.25" customHeight="1">
      <c r="B798" s="9"/>
    </row>
    <row r="799" ht="14.25" customHeight="1">
      <c r="B799" s="9"/>
    </row>
    <row r="800" ht="14.25" customHeight="1">
      <c r="B800" s="9"/>
    </row>
    <row r="801" ht="14.25" customHeight="1">
      <c r="B801" s="9"/>
    </row>
    <row r="802" ht="14.25" customHeight="1">
      <c r="B802" s="9"/>
    </row>
    <row r="803" ht="14.25" customHeight="1">
      <c r="B803" s="9"/>
    </row>
    <row r="804" ht="14.25" customHeight="1">
      <c r="B804" s="9"/>
    </row>
    <row r="805" ht="14.25" customHeight="1">
      <c r="B805" s="9"/>
    </row>
    <row r="806" ht="14.25" customHeight="1">
      <c r="B806" s="9"/>
    </row>
    <row r="807" ht="14.25" customHeight="1">
      <c r="B807" s="9"/>
    </row>
    <row r="808" ht="14.25" customHeight="1">
      <c r="B808" s="9"/>
    </row>
    <row r="809" ht="14.25" customHeight="1">
      <c r="B809" s="9"/>
    </row>
    <row r="810" ht="14.25" customHeight="1">
      <c r="B810" s="9"/>
    </row>
    <row r="811" ht="14.25" customHeight="1">
      <c r="B811" s="9"/>
    </row>
    <row r="812" ht="14.25" customHeight="1">
      <c r="B812" s="9"/>
    </row>
    <row r="813" ht="14.25" customHeight="1">
      <c r="B813" s="9"/>
    </row>
    <row r="814" ht="14.25" customHeight="1">
      <c r="B814" s="9"/>
    </row>
    <row r="815" ht="14.25" customHeight="1">
      <c r="B815" s="9"/>
    </row>
    <row r="816" ht="14.25" customHeight="1">
      <c r="B816" s="9"/>
    </row>
    <row r="817" ht="14.25" customHeight="1">
      <c r="B817" s="9"/>
    </row>
    <row r="818" ht="14.25" customHeight="1">
      <c r="B818" s="9"/>
    </row>
    <row r="819" ht="14.25" customHeight="1">
      <c r="B819" s="9"/>
    </row>
    <row r="820" ht="14.25" customHeight="1">
      <c r="B820" s="9"/>
    </row>
    <row r="821" ht="14.25" customHeight="1">
      <c r="B821" s="9"/>
    </row>
    <row r="822" ht="14.25" customHeight="1">
      <c r="B822" s="9"/>
    </row>
    <row r="823" ht="14.25" customHeight="1">
      <c r="B823" s="9"/>
    </row>
    <row r="824" ht="14.25" customHeight="1">
      <c r="B824" s="9"/>
    </row>
    <row r="825" ht="14.25" customHeight="1">
      <c r="B825" s="9"/>
    </row>
    <row r="826" ht="14.25" customHeight="1">
      <c r="B826" s="9"/>
    </row>
    <row r="827" ht="14.25" customHeight="1">
      <c r="B827" s="9"/>
    </row>
    <row r="828" ht="14.25" customHeight="1">
      <c r="B828" s="9"/>
    </row>
    <row r="829" ht="14.25" customHeight="1">
      <c r="B829" s="9"/>
    </row>
    <row r="830" ht="14.25" customHeight="1">
      <c r="B830" s="9"/>
    </row>
    <row r="831" ht="14.25" customHeight="1">
      <c r="B831" s="9"/>
    </row>
    <row r="832" ht="14.25" customHeight="1">
      <c r="B832" s="9"/>
    </row>
    <row r="833" ht="14.25" customHeight="1">
      <c r="B833" s="9"/>
    </row>
    <row r="834" ht="14.25" customHeight="1">
      <c r="B834" s="9"/>
    </row>
    <row r="835" ht="14.25" customHeight="1">
      <c r="B835" s="9"/>
    </row>
    <row r="836" ht="14.25" customHeight="1">
      <c r="B836" s="9"/>
    </row>
    <row r="837" ht="14.25" customHeight="1">
      <c r="B837" s="9"/>
    </row>
    <row r="838" ht="14.25" customHeight="1">
      <c r="B838" s="9"/>
    </row>
    <row r="839" ht="14.25" customHeight="1">
      <c r="B839" s="9"/>
    </row>
    <row r="840" ht="14.25" customHeight="1">
      <c r="B840" s="9"/>
    </row>
    <row r="841" ht="14.25" customHeight="1">
      <c r="B841" s="9"/>
    </row>
    <row r="842" ht="14.25" customHeight="1">
      <c r="B842" s="9"/>
    </row>
    <row r="843" ht="14.25" customHeight="1">
      <c r="B843" s="9"/>
    </row>
    <row r="844" ht="14.25" customHeight="1">
      <c r="B844" s="9"/>
    </row>
    <row r="845" ht="14.25" customHeight="1">
      <c r="B845" s="9"/>
    </row>
    <row r="846" ht="14.25" customHeight="1">
      <c r="B846" s="9"/>
    </row>
    <row r="847" ht="14.25" customHeight="1">
      <c r="B847" s="9"/>
    </row>
    <row r="848" ht="14.25" customHeight="1">
      <c r="B848" s="9"/>
    </row>
    <row r="849" ht="14.25" customHeight="1">
      <c r="B849" s="9"/>
    </row>
    <row r="850" ht="14.25" customHeight="1">
      <c r="B850" s="9"/>
    </row>
    <row r="851" ht="14.25" customHeight="1">
      <c r="B851" s="9"/>
    </row>
    <row r="852" ht="14.25" customHeight="1">
      <c r="B852" s="9"/>
    </row>
    <row r="853" ht="14.25" customHeight="1">
      <c r="B853" s="9"/>
    </row>
    <row r="854" ht="14.25" customHeight="1">
      <c r="B854" s="9"/>
    </row>
    <row r="855" ht="14.25" customHeight="1">
      <c r="B855" s="9"/>
    </row>
    <row r="856" ht="14.25" customHeight="1">
      <c r="B856" s="9"/>
    </row>
    <row r="857" ht="14.25" customHeight="1">
      <c r="B857" s="9"/>
    </row>
    <row r="858" ht="14.25" customHeight="1">
      <c r="B858" s="9"/>
    </row>
    <row r="859" ht="14.25" customHeight="1">
      <c r="B859" s="9"/>
    </row>
    <row r="860" ht="14.25" customHeight="1">
      <c r="B860" s="9"/>
    </row>
    <row r="861" ht="14.25" customHeight="1">
      <c r="B861" s="9"/>
    </row>
    <row r="862" ht="14.25" customHeight="1">
      <c r="B862" s="9"/>
    </row>
    <row r="863" ht="14.25" customHeight="1">
      <c r="B863" s="9"/>
    </row>
    <row r="864" ht="14.25" customHeight="1">
      <c r="B864" s="9"/>
    </row>
    <row r="865" ht="14.25" customHeight="1">
      <c r="B865" s="9"/>
    </row>
    <row r="866" ht="14.25" customHeight="1">
      <c r="B866" s="9"/>
    </row>
    <row r="867" ht="14.25" customHeight="1">
      <c r="B867" s="9"/>
    </row>
    <row r="868" ht="14.25" customHeight="1">
      <c r="B868" s="9"/>
    </row>
    <row r="869" ht="14.25" customHeight="1">
      <c r="B869" s="9"/>
    </row>
    <row r="870" ht="14.25" customHeight="1">
      <c r="B870" s="9"/>
    </row>
    <row r="871" ht="14.25" customHeight="1">
      <c r="B871" s="9"/>
    </row>
    <row r="872" ht="14.25" customHeight="1">
      <c r="B872" s="9"/>
    </row>
    <row r="873" ht="14.25" customHeight="1">
      <c r="B873" s="9"/>
    </row>
    <row r="874" ht="14.25" customHeight="1">
      <c r="B874" s="9"/>
    </row>
    <row r="875" ht="14.25" customHeight="1">
      <c r="B875" s="9"/>
    </row>
    <row r="876" ht="14.25" customHeight="1">
      <c r="B876" s="9"/>
    </row>
    <row r="877" ht="14.25" customHeight="1">
      <c r="B877" s="9"/>
    </row>
    <row r="878" ht="14.25" customHeight="1">
      <c r="B878" s="9"/>
    </row>
    <row r="879" ht="14.25" customHeight="1">
      <c r="B879" s="9"/>
    </row>
    <row r="880" ht="14.25" customHeight="1">
      <c r="B880" s="9"/>
    </row>
    <row r="881" ht="14.25" customHeight="1">
      <c r="B881" s="9"/>
    </row>
    <row r="882" ht="14.25" customHeight="1">
      <c r="B882" s="9"/>
    </row>
    <row r="883" ht="14.25" customHeight="1">
      <c r="B883" s="9"/>
    </row>
    <row r="884" ht="14.25" customHeight="1">
      <c r="B884" s="9"/>
    </row>
    <row r="885" ht="14.25" customHeight="1">
      <c r="B885" s="9"/>
    </row>
    <row r="886" ht="14.25" customHeight="1">
      <c r="B886" s="9"/>
    </row>
    <row r="887" ht="14.25" customHeight="1">
      <c r="B887" s="9"/>
    </row>
    <row r="888" ht="14.25" customHeight="1">
      <c r="B888" s="9"/>
    </row>
    <row r="889" ht="14.25" customHeight="1">
      <c r="B889" s="9"/>
    </row>
    <row r="890" ht="14.25" customHeight="1">
      <c r="B890" s="9"/>
    </row>
    <row r="891" ht="14.25" customHeight="1">
      <c r="B891" s="9"/>
    </row>
    <row r="892" ht="14.25" customHeight="1">
      <c r="B892" s="9"/>
    </row>
    <row r="893" ht="14.25" customHeight="1">
      <c r="B893" s="9"/>
    </row>
    <row r="894" ht="14.25" customHeight="1">
      <c r="B894" s="9"/>
    </row>
    <row r="895" ht="14.25" customHeight="1">
      <c r="B895" s="9"/>
    </row>
    <row r="896" ht="14.25" customHeight="1">
      <c r="B896" s="9"/>
    </row>
    <row r="897" ht="14.25" customHeight="1">
      <c r="B897" s="9"/>
    </row>
    <row r="898" ht="14.25" customHeight="1">
      <c r="B898" s="9"/>
    </row>
    <row r="899" ht="14.25" customHeight="1">
      <c r="B899" s="9"/>
    </row>
    <row r="900" ht="14.25" customHeight="1">
      <c r="B900" s="9"/>
    </row>
    <row r="901" ht="14.25" customHeight="1">
      <c r="B901" s="9"/>
    </row>
    <row r="902" ht="14.25" customHeight="1">
      <c r="B902" s="9"/>
    </row>
    <row r="903" ht="14.25" customHeight="1">
      <c r="B903" s="9"/>
    </row>
    <row r="904" ht="14.25" customHeight="1">
      <c r="B904" s="9"/>
    </row>
    <row r="905" ht="14.25" customHeight="1">
      <c r="B905" s="9"/>
    </row>
    <row r="906" ht="14.25" customHeight="1">
      <c r="B906" s="9"/>
    </row>
    <row r="907" ht="14.25" customHeight="1">
      <c r="B907" s="9"/>
    </row>
    <row r="908" ht="14.25" customHeight="1">
      <c r="B908" s="9"/>
    </row>
    <row r="909" ht="14.25" customHeight="1">
      <c r="B909" s="9"/>
    </row>
    <row r="910" ht="14.25" customHeight="1">
      <c r="B910" s="9"/>
    </row>
    <row r="911" ht="14.25" customHeight="1">
      <c r="B911" s="9"/>
    </row>
    <row r="912" ht="14.25" customHeight="1">
      <c r="B912" s="9"/>
    </row>
    <row r="913" ht="14.25" customHeight="1">
      <c r="B913" s="9"/>
    </row>
    <row r="914" ht="14.25" customHeight="1">
      <c r="B914" s="9"/>
    </row>
    <row r="915" ht="14.25" customHeight="1">
      <c r="B915" s="9"/>
    </row>
    <row r="916" ht="14.25" customHeight="1">
      <c r="B916" s="9"/>
    </row>
    <row r="917" ht="14.25" customHeight="1">
      <c r="B917" s="9"/>
    </row>
    <row r="918" ht="14.25" customHeight="1">
      <c r="B918" s="9"/>
    </row>
    <row r="919" ht="14.25" customHeight="1">
      <c r="B919" s="9"/>
    </row>
    <row r="920" ht="14.25" customHeight="1">
      <c r="B920" s="9"/>
    </row>
    <row r="921" ht="14.25" customHeight="1">
      <c r="B921" s="9"/>
    </row>
    <row r="922" ht="14.25" customHeight="1">
      <c r="B922" s="9"/>
    </row>
    <row r="923" ht="14.25" customHeight="1">
      <c r="B923" s="9"/>
    </row>
    <row r="924" ht="14.25" customHeight="1">
      <c r="B924" s="9"/>
    </row>
    <row r="925" ht="14.25" customHeight="1">
      <c r="B925" s="9"/>
    </row>
    <row r="926" ht="14.25" customHeight="1">
      <c r="B926" s="9"/>
    </row>
    <row r="927" ht="14.25" customHeight="1">
      <c r="B927" s="9"/>
    </row>
    <row r="928" ht="14.25" customHeight="1">
      <c r="B928" s="9"/>
    </row>
    <row r="929" ht="14.25" customHeight="1">
      <c r="B929" s="9"/>
    </row>
    <row r="930" ht="14.25" customHeight="1">
      <c r="B930" s="9"/>
    </row>
    <row r="931" ht="14.25" customHeight="1">
      <c r="B931" s="9"/>
    </row>
    <row r="932" ht="14.25" customHeight="1">
      <c r="B932" s="9"/>
    </row>
    <row r="933" ht="14.25" customHeight="1">
      <c r="B933" s="9"/>
    </row>
    <row r="934" ht="14.25" customHeight="1">
      <c r="B934" s="9"/>
    </row>
    <row r="935" ht="14.25" customHeight="1">
      <c r="B935" s="9"/>
    </row>
    <row r="936" ht="14.25" customHeight="1">
      <c r="B936" s="9"/>
    </row>
    <row r="937" ht="14.25" customHeight="1">
      <c r="B937" s="9"/>
    </row>
    <row r="938" ht="14.25" customHeight="1">
      <c r="B938" s="9"/>
    </row>
    <row r="939" ht="14.25" customHeight="1">
      <c r="B939" s="9"/>
    </row>
    <row r="940" ht="14.25" customHeight="1">
      <c r="B940" s="9"/>
    </row>
    <row r="941" ht="14.25" customHeight="1">
      <c r="B941" s="9"/>
    </row>
    <row r="942" ht="14.25" customHeight="1">
      <c r="B942" s="9"/>
    </row>
    <row r="943" ht="14.25" customHeight="1">
      <c r="B943" s="9"/>
    </row>
    <row r="944" ht="14.25" customHeight="1">
      <c r="B944" s="9"/>
    </row>
    <row r="945" ht="14.25" customHeight="1">
      <c r="B945" s="9"/>
    </row>
    <row r="946" ht="14.25" customHeight="1">
      <c r="B946" s="9"/>
    </row>
    <row r="947" ht="14.25" customHeight="1">
      <c r="B947" s="9"/>
    </row>
    <row r="948" ht="14.25" customHeight="1">
      <c r="B948" s="9"/>
    </row>
    <row r="949" ht="14.25" customHeight="1">
      <c r="B949" s="9"/>
    </row>
    <row r="950" ht="14.25" customHeight="1">
      <c r="B950" s="9"/>
    </row>
    <row r="951" ht="14.25" customHeight="1">
      <c r="B951" s="9"/>
    </row>
    <row r="952" ht="14.25" customHeight="1">
      <c r="B952" s="9"/>
    </row>
    <row r="953" ht="14.25" customHeight="1">
      <c r="B953" s="9"/>
    </row>
    <row r="954" ht="14.25" customHeight="1">
      <c r="B954" s="9"/>
    </row>
    <row r="955" ht="14.25" customHeight="1">
      <c r="B955" s="9"/>
    </row>
    <row r="956" ht="14.25" customHeight="1">
      <c r="B956" s="9"/>
    </row>
    <row r="957" ht="14.25" customHeight="1">
      <c r="B957" s="9"/>
    </row>
    <row r="958" ht="14.25" customHeight="1">
      <c r="B958" s="9"/>
    </row>
    <row r="959" ht="14.25" customHeight="1">
      <c r="B959" s="9"/>
    </row>
    <row r="960" ht="14.25" customHeight="1">
      <c r="B960" s="9"/>
    </row>
    <row r="961" ht="14.25" customHeight="1">
      <c r="B961" s="9"/>
    </row>
    <row r="962" ht="14.25" customHeight="1">
      <c r="B962" s="9"/>
    </row>
    <row r="963" ht="14.25" customHeight="1">
      <c r="B963" s="9"/>
    </row>
    <row r="964" ht="14.25" customHeight="1">
      <c r="B964" s="9"/>
    </row>
    <row r="965" ht="14.25" customHeight="1">
      <c r="B965" s="9"/>
    </row>
    <row r="966" ht="14.25" customHeight="1">
      <c r="B966" s="9"/>
    </row>
    <row r="967" ht="14.25" customHeight="1">
      <c r="B967" s="9"/>
    </row>
    <row r="968" ht="14.25" customHeight="1">
      <c r="B968" s="9"/>
    </row>
    <row r="969" ht="14.25" customHeight="1">
      <c r="B969" s="9"/>
    </row>
    <row r="970" ht="14.25" customHeight="1">
      <c r="B970" s="9"/>
    </row>
    <row r="971" ht="14.25" customHeight="1">
      <c r="B971" s="9"/>
    </row>
    <row r="972" ht="14.25" customHeight="1">
      <c r="B972" s="9"/>
    </row>
    <row r="973" ht="14.25" customHeight="1">
      <c r="B973" s="9"/>
    </row>
    <row r="974" ht="14.25" customHeight="1">
      <c r="B974" s="9"/>
    </row>
    <row r="975" ht="14.25" customHeight="1">
      <c r="B975" s="9"/>
    </row>
    <row r="976" ht="14.25" customHeight="1">
      <c r="B976" s="9"/>
    </row>
    <row r="977" ht="14.25" customHeight="1">
      <c r="B977" s="9"/>
    </row>
    <row r="978" ht="14.25" customHeight="1">
      <c r="B978" s="9"/>
    </row>
    <row r="979" ht="14.25" customHeight="1">
      <c r="B979" s="9"/>
    </row>
    <row r="980" ht="14.25" customHeight="1">
      <c r="B980" s="9"/>
    </row>
    <row r="981" ht="14.25" customHeight="1">
      <c r="B981" s="9"/>
    </row>
    <row r="982" ht="14.25" customHeight="1">
      <c r="B982" s="9"/>
    </row>
    <row r="983" ht="14.25" customHeight="1">
      <c r="B983" s="9"/>
    </row>
    <row r="984" ht="14.25" customHeight="1">
      <c r="B984" s="9"/>
    </row>
    <row r="985" ht="14.25" customHeight="1">
      <c r="B985" s="9"/>
    </row>
    <row r="986" ht="14.25" customHeight="1">
      <c r="B986" s="9"/>
    </row>
    <row r="987" ht="14.25" customHeight="1">
      <c r="B987" s="9"/>
    </row>
    <row r="988" ht="14.25" customHeight="1">
      <c r="B988" s="9"/>
    </row>
    <row r="989" ht="14.25" customHeight="1">
      <c r="B989" s="9"/>
    </row>
    <row r="990" ht="14.25" customHeight="1">
      <c r="B990" s="9"/>
    </row>
    <row r="991" ht="14.25" customHeight="1">
      <c r="B991" s="9"/>
    </row>
    <row r="992" ht="14.25" customHeight="1">
      <c r="B992" s="9"/>
    </row>
    <row r="993" ht="14.25" customHeight="1">
      <c r="B993" s="9"/>
    </row>
    <row r="994" ht="14.25" customHeight="1">
      <c r="B994" s="9"/>
    </row>
    <row r="995" ht="14.25" customHeight="1">
      <c r="B995" s="9"/>
    </row>
    <row r="996" ht="14.25" customHeight="1">
      <c r="B996" s="9"/>
    </row>
    <row r="997" ht="14.25" customHeight="1">
      <c r="B997" s="9"/>
    </row>
    <row r="998" ht="14.25" customHeight="1">
      <c r="B998" s="9"/>
    </row>
    <row r="999" ht="14.25" customHeight="1">
      <c r="B999" s="9"/>
    </row>
    <row r="1000" ht="14.25" customHeight="1">
      <c r="B1000" s="9"/>
    </row>
  </sheetData>
  <mergeCells count="2">
    <mergeCell ref="C3:D4"/>
    <mergeCell ref="C19:D20"/>
  </mergeCells>
  <conditionalFormatting sqref="E21:E63">
    <cfRule type="containsText" dxfId="8" priority="1" operator="containsText" text="CAR">
      <formula>NOT(ISERROR(SEARCH(("CAR"),(E21))))</formula>
    </cfRule>
  </conditionalFormatting>
  <conditionalFormatting sqref="E21:E63">
    <cfRule type="containsText" dxfId="1" priority="2" operator="containsText" text="AGI">
      <formula>NOT(ISERROR(SEARCH(("AGI"),(E21))))</formula>
    </cfRule>
  </conditionalFormatting>
  <conditionalFormatting sqref="E21:E63">
    <cfRule type="containsText" dxfId="2" priority="3" operator="containsText" text="PER">
      <formula>NOT(ISERROR(SEARCH(("PER"),(E21))))</formula>
    </cfRule>
  </conditionalFormatting>
  <conditionalFormatting sqref="E21:E63">
    <cfRule type="containsText" dxfId="3" priority="4" operator="containsText" text="WIL">
      <formula>NOT(ISERROR(SEARCH(("WIL"),(E21))))</formula>
    </cfRule>
  </conditionalFormatting>
  <conditionalFormatting sqref="E21:E63">
    <cfRule type="containsText" dxfId="4" priority="5" operator="containsText" text="INT">
      <formula>NOT(ISERROR(SEARCH(("INT"),(E21))))</formula>
    </cfRule>
  </conditionalFormatting>
  <conditionalFormatting sqref="E21:E63">
    <cfRule type="containsText" dxfId="5" priority="6" operator="containsText" text="STR">
      <formula>NOT(ISERROR(SEARCH(("STR"),(E21))))</formula>
    </cfRule>
  </conditionalFormatting>
  <conditionalFormatting sqref="E5:E16">
    <cfRule type="containsText" dxfId="8" priority="7" operator="containsText" text="CAR">
      <formula>NOT(ISERROR(SEARCH(("CAR"),(E5))))</formula>
    </cfRule>
  </conditionalFormatting>
  <conditionalFormatting sqref="E5:E16">
    <cfRule type="containsText" dxfId="1" priority="8" operator="containsText" text="AGI">
      <formula>NOT(ISERROR(SEARCH(("AGI"),(E5))))</formula>
    </cfRule>
  </conditionalFormatting>
  <conditionalFormatting sqref="E5:E16">
    <cfRule type="containsText" dxfId="2" priority="9" operator="containsText" text="PER">
      <formula>NOT(ISERROR(SEARCH(("PER"),(E5))))</formula>
    </cfRule>
  </conditionalFormatting>
  <conditionalFormatting sqref="E5:E16">
    <cfRule type="containsText" dxfId="3" priority="10" operator="containsText" text="WIL">
      <formula>NOT(ISERROR(SEARCH(("WIL"),(E5))))</formula>
    </cfRule>
  </conditionalFormatting>
  <conditionalFormatting sqref="E5:E16">
    <cfRule type="containsText" dxfId="4" priority="11" operator="containsText" text="INT">
      <formula>NOT(ISERROR(SEARCH(("INT"),(E5))))</formula>
    </cfRule>
  </conditionalFormatting>
  <conditionalFormatting sqref="E5:E16">
    <cfRule type="containsText" dxfId="5" priority="12" operator="containsText" text="STR">
      <formula>NOT(ISERROR(SEARCH(("STR"),(E5))))</formula>
    </cfRule>
  </conditionalFormatting>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8" width="8.71"/>
  </cols>
  <sheetData>
    <row r="1" ht="14.25" customHeight="1"/>
    <row r="2" ht="14.25" customHeight="1"/>
    <row r="3" ht="14.25" customHeight="1">
      <c r="C3" s="281" t="s">
        <v>520</v>
      </c>
      <c r="D3" s="282"/>
      <c r="E3" s="283" t="str">
        <f>VLOOKUP(C3,List!$C$5:$E$63,3,FALSE)</f>
        <v>WIL</v>
      </c>
      <c r="F3" s="282"/>
      <c r="G3" s="282"/>
      <c r="H3" s="282"/>
      <c r="I3" s="282"/>
      <c r="L3" s="281" t="s">
        <v>521</v>
      </c>
      <c r="M3" s="282"/>
      <c r="N3" s="283" t="str">
        <f>VLOOKUP(L3,List!$C$5:$E$63,3,FALSE)</f>
        <v>AGI</v>
      </c>
      <c r="O3" s="282"/>
      <c r="P3" s="282"/>
      <c r="Q3" s="282"/>
      <c r="R3" s="282"/>
      <c r="S3" s="1" t="s">
        <v>0</v>
      </c>
      <c r="U3" s="281" t="s">
        <v>522</v>
      </c>
      <c r="V3" s="282"/>
      <c r="W3" s="283" t="str">
        <f>VLOOKUP(U3,List!$C$5:$E$63,3,FALSE)</f>
        <v>AGI</v>
      </c>
      <c r="X3" s="282"/>
      <c r="Y3" s="282"/>
      <c r="Z3" s="282"/>
      <c r="AA3" s="282"/>
      <c r="AD3" s="281" t="s">
        <v>523</v>
      </c>
      <c r="AE3" s="282"/>
      <c r="AF3" s="284" t="s">
        <v>256</v>
      </c>
      <c r="AG3" s="282"/>
      <c r="AH3" s="282"/>
      <c r="AI3" s="282"/>
      <c r="AJ3" s="282"/>
    </row>
    <row r="4" ht="14.25" customHeight="1">
      <c r="C4" s="1" t="s">
        <v>524</v>
      </c>
      <c r="L4" s="1" t="s">
        <v>524</v>
      </c>
      <c r="S4" s="1" t="s">
        <v>0</v>
      </c>
      <c r="U4" s="1" t="s">
        <v>524</v>
      </c>
      <c r="AB4" s="1" t="s">
        <v>0</v>
      </c>
      <c r="AD4" s="1" t="s">
        <v>524</v>
      </c>
    </row>
    <row r="5" ht="14.25" customHeight="1">
      <c r="C5" s="1" t="s">
        <v>525</v>
      </c>
      <c r="D5" s="285" t="s">
        <v>526</v>
      </c>
      <c r="J5" s="1" t="s">
        <v>0</v>
      </c>
      <c r="M5" s="1" t="s">
        <v>527</v>
      </c>
      <c r="S5" s="1" t="s">
        <v>0</v>
      </c>
      <c r="V5" s="1" t="s">
        <v>528</v>
      </c>
      <c r="AB5" s="1" t="s">
        <v>0</v>
      </c>
      <c r="AE5" s="1" t="s">
        <v>529</v>
      </c>
    </row>
    <row r="6" ht="14.25" customHeight="1">
      <c r="C6" s="1" t="s">
        <v>530</v>
      </c>
      <c r="D6" s="1" t="s">
        <v>531</v>
      </c>
      <c r="J6" s="1" t="s">
        <v>0</v>
      </c>
      <c r="M6" s="1" t="s">
        <v>532</v>
      </c>
      <c r="S6" s="1" t="s">
        <v>0</v>
      </c>
      <c r="V6" s="1" t="s">
        <v>533</v>
      </c>
      <c r="AB6" s="1" t="s">
        <v>0</v>
      </c>
      <c r="AE6" s="1" t="s">
        <v>534</v>
      </c>
      <c r="AL6" s="1" t="s">
        <v>528</v>
      </c>
    </row>
    <row r="7" ht="14.25" customHeight="1">
      <c r="C7" s="1" t="s">
        <v>535</v>
      </c>
      <c r="D7" s="1" t="s">
        <v>536</v>
      </c>
      <c r="J7" s="1" t="s">
        <v>0</v>
      </c>
      <c r="M7" s="1" t="s">
        <v>537</v>
      </c>
      <c r="S7" s="1" t="s">
        <v>0</v>
      </c>
      <c r="V7" s="1" t="s">
        <v>538</v>
      </c>
      <c r="AB7" s="1" t="s">
        <v>0</v>
      </c>
      <c r="AE7" s="1" t="s">
        <v>539</v>
      </c>
      <c r="AL7" s="1" t="s">
        <v>533</v>
      </c>
    </row>
    <row r="8" ht="14.25" customHeight="1">
      <c r="C8" s="1" t="s">
        <v>540</v>
      </c>
      <c r="J8" s="1" t="s">
        <v>0</v>
      </c>
      <c r="L8" s="1" t="s">
        <v>540</v>
      </c>
      <c r="S8" s="1" t="s">
        <v>0</v>
      </c>
      <c r="U8" s="1" t="s">
        <v>540</v>
      </c>
      <c r="AB8" s="1" t="s">
        <v>0</v>
      </c>
      <c r="AD8" s="1" t="s">
        <v>540</v>
      </c>
    </row>
    <row r="9" ht="14.25" customHeight="1">
      <c r="D9" s="1" t="s">
        <v>541</v>
      </c>
      <c r="J9" s="1" t="s">
        <v>0</v>
      </c>
      <c r="M9" s="1" t="s">
        <v>542</v>
      </c>
      <c r="S9" s="1" t="s">
        <v>0</v>
      </c>
      <c r="V9" s="1" t="s">
        <v>543</v>
      </c>
      <c r="AB9" s="1" t="s">
        <v>0</v>
      </c>
      <c r="AE9" s="1" t="s">
        <v>544</v>
      </c>
    </row>
    <row r="10" ht="14.25" customHeight="1">
      <c r="D10" s="1" t="s">
        <v>545</v>
      </c>
      <c r="J10" s="1" t="s">
        <v>0</v>
      </c>
      <c r="M10" s="1" t="s">
        <v>546</v>
      </c>
      <c r="S10" s="1" t="s">
        <v>0</v>
      </c>
      <c r="V10" s="1" t="s">
        <v>547</v>
      </c>
      <c r="AB10" s="1" t="s">
        <v>0</v>
      </c>
      <c r="AE10" s="1" t="s">
        <v>548</v>
      </c>
    </row>
    <row r="11" ht="14.25" customHeight="1">
      <c r="D11" s="1" t="s">
        <v>549</v>
      </c>
      <c r="J11" s="1" t="s">
        <v>0</v>
      </c>
      <c r="M11" s="1" t="s">
        <v>550</v>
      </c>
      <c r="S11" s="1" t="s">
        <v>0</v>
      </c>
      <c r="V11" s="1" t="s">
        <v>551</v>
      </c>
      <c r="AB11" s="1" t="s">
        <v>0</v>
      </c>
      <c r="AE11" s="1" t="s">
        <v>552</v>
      </c>
    </row>
    <row r="12" ht="14.25" customHeight="1">
      <c r="D12" s="1" t="s">
        <v>553</v>
      </c>
      <c r="J12" s="1" t="s">
        <v>0</v>
      </c>
      <c r="M12" s="1" t="s">
        <v>554</v>
      </c>
      <c r="S12" s="1" t="s">
        <v>0</v>
      </c>
      <c r="V12" s="1" t="s">
        <v>555</v>
      </c>
      <c r="AB12" s="1" t="s">
        <v>0</v>
      </c>
      <c r="AE12" s="1" t="s">
        <v>556</v>
      </c>
    </row>
    <row r="13" ht="14.25" customHeight="1">
      <c r="C13" s="1" t="s">
        <v>557</v>
      </c>
      <c r="J13" s="1" t="s">
        <v>0</v>
      </c>
      <c r="L13" s="1" t="s">
        <v>558</v>
      </c>
      <c r="S13" s="1" t="s">
        <v>0</v>
      </c>
      <c r="U13" s="1" t="s">
        <v>558</v>
      </c>
      <c r="AB13" s="1" t="s">
        <v>0</v>
      </c>
      <c r="AE13" s="1" t="s">
        <v>559</v>
      </c>
    </row>
    <row r="14" ht="14.25" customHeight="1">
      <c r="D14" s="1" t="s">
        <v>560</v>
      </c>
      <c r="M14" s="1" t="s">
        <v>561</v>
      </c>
      <c r="V14" s="1" t="s">
        <v>562</v>
      </c>
      <c r="AE14" s="1" t="s">
        <v>563</v>
      </c>
    </row>
    <row r="15" ht="14.25" customHeight="1">
      <c r="D15" s="1" t="s">
        <v>564</v>
      </c>
      <c r="J15" s="1" t="s">
        <v>0</v>
      </c>
      <c r="M15" s="1" t="s">
        <v>565</v>
      </c>
      <c r="S15" s="1" t="s">
        <v>0</v>
      </c>
      <c r="V15" s="1" t="s">
        <v>566</v>
      </c>
      <c r="AB15" s="1" t="s">
        <v>0</v>
      </c>
      <c r="AE15" s="1" t="s">
        <v>567</v>
      </c>
    </row>
    <row r="16" ht="14.25" customHeight="1">
      <c r="D16" s="1" t="s">
        <v>568</v>
      </c>
      <c r="J16" s="1" t="s">
        <v>0</v>
      </c>
      <c r="M16" s="1" t="s">
        <v>569</v>
      </c>
      <c r="S16" s="1" t="s">
        <v>0</v>
      </c>
      <c r="V16" s="1" t="s">
        <v>570</v>
      </c>
      <c r="AB16" s="1" t="s">
        <v>0</v>
      </c>
      <c r="AE16" s="1" t="s">
        <v>571</v>
      </c>
    </row>
    <row r="17" ht="14.25" customHeight="1">
      <c r="D17" s="1" t="s">
        <v>572</v>
      </c>
      <c r="J17" s="1" t="s">
        <v>0</v>
      </c>
      <c r="M17" s="1" t="s">
        <v>573</v>
      </c>
      <c r="S17" s="1" t="s">
        <v>0</v>
      </c>
      <c r="V17" s="1" t="s">
        <v>574</v>
      </c>
      <c r="AB17" s="1" t="s">
        <v>0</v>
      </c>
      <c r="AE17" s="1" t="s">
        <v>575</v>
      </c>
    </row>
    <row r="18" ht="14.25" customHeight="1">
      <c r="D18" s="1" t="s">
        <v>576</v>
      </c>
      <c r="J18" s="1" t="s">
        <v>0</v>
      </c>
      <c r="M18" s="1" t="s">
        <v>577</v>
      </c>
      <c r="N18" s="286"/>
      <c r="S18" s="1" t="s">
        <v>0</v>
      </c>
      <c r="V18" s="1" t="s">
        <v>578</v>
      </c>
      <c r="W18" s="286"/>
      <c r="AB18" s="1" t="s">
        <v>0</v>
      </c>
      <c r="AE18" s="1" t="s">
        <v>579</v>
      </c>
    </row>
    <row r="19" ht="14.25" customHeight="1">
      <c r="E19" s="286" t="s">
        <v>580</v>
      </c>
      <c r="M19" s="1" t="s">
        <v>581</v>
      </c>
      <c r="N19" s="286"/>
      <c r="V19" s="1" t="s">
        <v>582</v>
      </c>
      <c r="W19" s="286"/>
      <c r="AE19" s="1" t="s">
        <v>583</v>
      </c>
    </row>
    <row r="20" ht="14.25" customHeight="1">
      <c r="D20" s="1" t="s">
        <v>584</v>
      </c>
      <c r="J20" s="1" t="s">
        <v>0</v>
      </c>
      <c r="M20" s="1" t="s">
        <v>585</v>
      </c>
      <c r="S20" s="1" t="s">
        <v>0</v>
      </c>
      <c r="V20" s="1" t="s">
        <v>586</v>
      </c>
      <c r="AB20" s="1" t="s">
        <v>0</v>
      </c>
      <c r="AD20" s="1" t="s">
        <v>558</v>
      </c>
    </row>
    <row r="21" ht="14.25" customHeight="1">
      <c r="D21" s="1" t="s">
        <v>587</v>
      </c>
      <c r="J21" s="1" t="s">
        <v>0</v>
      </c>
      <c r="AE21" s="1" t="s">
        <v>588</v>
      </c>
    </row>
    <row r="22" ht="14.25" customHeight="1">
      <c r="C22" s="1" t="s">
        <v>589</v>
      </c>
      <c r="J22" s="1" t="s">
        <v>0</v>
      </c>
      <c r="L22" s="1" t="s">
        <v>589</v>
      </c>
      <c r="S22" s="1" t="s">
        <v>0</v>
      </c>
      <c r="U22" s="1" t="s">
        <v>589</v>
      </c>
      <c r="AB22" s="1" t="s">
        <v>0</v>
      </c>
    </row>
    <row r="23" ht="14.25" customHeight="1">
      <c r="D23" s="29" t="s">
        <v>590</v>
      </c>
      <c r="J23" s="1" t="s">
        <v>0</v>
      </c>
      <c r="M23" s="29" t="s">
        <v>591</v>
      </c>
      <c r="S23" s="1" t="s">
        <v>0</v>
      </c>
      <c r="V23" s="29" t="s">
        <v>592</v>
      </c>
      <c r="AB23" s="1" t="s">
        <v>0</v>
      </c>
    </row>
    <row r="24" ht="14.25" customHeight="1">
      <c r="D24" s="29" t="s">
        <v>593</v>
      </c>
      <c r="J24" s="1" t="s">
        <v>0</v>
      </c>
      <c r="M24" s="29" t="s">
        <v>594</v>
      </c>
      <c r="S24" s="1" t="s">
        <v>0</v>
      </c>
      <c r="V24" s="29" t="s">
        <v>595</v>
      </c>
      <c r="AB24" s="1" t="s">
        <v>0</v>
      </c>
    </row>
    <row r="25" ht="14.25" customHeight="1">
      <c r="D25" s="29" t="s">
        <v>596</v>
      </c>
      <c r="J25" s="1" t="s">
        <v>0</v>
      </c>
      <c r="M25" s="29" t="s">
        <v>597</v>
      </c>
      <c r="S25" s="1" t="s">
        <v>0</v>
      </c>
      <c r="V25" s="29" t="s">
        <v>598</v>
      </c>
      <c r="AB25" s="1" t="s">
        <v>0</v>
      </c>
    </row>
    <row r="26" ht="14.25" customHeight="1">
      <c r="D26" s="29" t="s">
        <v>599</v>
      </c>
      <c r="J26" s="1" t="s">
        <v>0</v>
      </c>
      <c r="M26" s="29" t="s">
        <v>600</v>
      </c>
      <c r="S26" s="1" t="s">
        <v>0</v>
      </c>
      <c r="V26" s="29" t="s">
        <v>595</v>
      </c>
      <c r="AB26" s="1" t="s">
        <v>0</v>
      </c>
    </row>
    <row r="27" ht="14.25" customHeight="1">
      <c r="D27" s="29" t="s">
        <v>601</v>
      </c>
      <c r="J27" s="1" t="s">
        <v>0</v>
      </c>
      <c r="M27" s="29" t="s">
        <v>602</v>
      </c>
      <c r="S27" s="1" t="s">
        <v>0</v>
      </c>
      <c r="V27" s="29" t="s">
        <v>598</v>
      </c>
      <c r="AB27" s="1" t="s">
        <v>0</v>
      </c>
    </row>
    <row r="28" ht="14.25" customHeight="1">
      <c r="D28" s="29" t="s">
        <v>603</v>
      </c>
      <c r="J28" s="1" t="s">
        <v>0</v>
      </c>
      <c r="M28" s="29" t="s">
        <v>604</v>
      </c>
      <c r="S28" s="1" t="s">
        <v>0</v>
      </c>
      <c r="V28" s="29" t="s">
        <v>595</v>
      </c>
      <c r="AB28" s="1" t="s">
        <v>0</v>
      </c>
    </row>
    <row r="29" ht="14.25" customHeight="1">
      <c r="D29" s="29" t="s">
        <v>605</v>
      </c>
      <c r="J29" s="1" t="s">
        <v>0</v>
      </c>
      <c r="M29" s="29" t="s">
        <v>606</v>
      </c>
      <c r="S29" s="1" t="s">
        <v>0</v>
      </c>
      <c r="V29" s="29" t="s">
        <v>598</v>
      </c>
      <c r="AB29" s="1" t="s">
        <v>0</v>
      </c>
    </row>
    <row r="30" ht="14.25" customHeight="1">
      <c r="J30" s="1" t="s">
        <v>0</v>
      </c>
      <c r="S30" s="1" t="s">
        <v>0</v>
      </c>
    </row>
    <row r="31" ht="14.25" customHeight="1">
      <c r="S31" s="1" t="s">
        <v>0</v>
      </c>
    </row>
    <row r="32" ht="14.25" customHeight="1">
      <c r="C32" s="281" t="s">
        <v>472</v>
      </c>
      <c r="D32" s="282"/>
      <c r="E32" s="283" t="str">
        <f>VLOOKUP(C32,List!$C$5:$E$63,3,FALSE)</f>
        <v>WIL</v>
      </c>
      <c r="F32" s="282"/>
      <c r="G32" s="282"/>
      <c r="H32" s="282"/>
      <c r="I32" s="282"/>
      <c r="L32" s="281" t="s">
        <v>412</v>
      </c>
      <c r="M32" s="282"/>
      <c r="N32" s="283" t="str">
        <f>VLOOKUP(L32,List!$C$5:$E$63,3,FALSE)</f>
        <v>PER</v>
      </c>
      <c r="O32" s="282"/>
      <c r="P32" s="282"/>
      <c r="Q32" s="282"/>
      <c r="R32" s="282"/>
      <c r="S32" s="1" t="s">
        <v>0</v>
      </c>
      <c r="U32" s="281" t="s">
        <v>430</v>
      </c>
      <c r="V32" s="282"/>
      <c r="W32" s="283" t="s">
        <v>160</v>
      </c>
      <c r="X32" s="282"/>
      <c r="Y32" s="282"/>
      <c r="Z32" s="282"/>
      <c r="AA32" s="282"/>
      <c r="AD32" s="281" t="s">
        <v>446</v>
      </c>
      <c r="AE32" s="282"/>
      <c r="AF32" s="283" t="s">
        <v>81</v>
      </c>
      <c r="AG32" s="282"/>
      <c r="AH32" s="282"/>
      <c r="AI32" s="282"/>
      <c r="AJ32" s="282"/>
    </row>
    <row r="33" ht="14.25" customHeight="1">
      <c r="C33" s="1" t="s">
        <v>524</v>
      </c>
      <c r="J33" s="1" t="s">
        <v>0</v>
      </c>
      <c r="L33" s="1" t="s">
        <v>524</v>
      </c>
      <c r="S33" s="1" t="s">
        <v>0</v>
      </c>
      <c r="U33" s="1" t="s">
        <v>524</v>
      </c>
      <c r="AD33" s="1" t="s">
        <v>524</v>
      </c>
    </row>
    <row r="34" ht="14.25" customHeight="1">
      <c r="D34" s="1" t="s">
        <v>607</v>
      </c>
      <c r="J34" s="1" t="s">
        <v>0</v>
      </c>
      <c r="M34" s="285" t="s">
        <v>608</v>
      </c>
      <c r="S34" s="1" t="s">
        <v>0</v>
      </c>
      <c r="V34" s="1" t="s">
        <v>609</v>
      </c>
      <c r="AB34" s="1" t="s">
        <v>0</v>
      </c>
      <c r="AE34" s="1" t="s">
        <v>610</v>
      </c>
      <c r="AK34" s="1" t="s">
        <v>0</v>
      </c>
    </row>
    <row r="35" ht="14.25" customHeight="1">
      <c r="D35" s="1" t="s">
        <v>611</v>
      </c>
      <c r="J35" s="1" t="s">
        <v>0</v>
      </c>
      <c r="M35" s="1" t="s">
        <v>612</v>
      </c>
      <c r="S35" s="1" t="s">
        <v>0</v>
      </c>
      <c r="V35" s="1" t="s">
        <v>613</v>
      </c>
      <c r="AB35" s="1" t="s">
        <v>0</v>
      </c>
      <c r="AE35" s="1" t="s">
        <v>614</v>
      </c>
      <c r="AK35" s="1" t="s">
        <v>0</v>
      </c>
    </row>
    <row r="36" ht="14.25" customHeight="1">
      <c r="D36" s="1" t="s">
        <v>615</v>
      </c>
      <c r="J36" s="1" t="s">
        <v>0</v>
      </c>
      <c r="M36" s="1" t="s">
        <v>616</v>
      </c>
      <c r="S36" s="1" t="s">
        <v>0</v>
      </c>
      <c r="V36" s="1" t="s">
        <v>617</v>
      </c>
      <c r="AB36" s="1" t="s">
        <v>0</v>
      </c>
      <c r="AE36" s="1" t="s">
        <v>618</v>
      </c>
      <c r="AK36" s="1" t="s">
        <v>0</v>
      </c>
    </row>
    <row r="37" ht="14.25" customHeight="1">
      <c r="D37" s="29" t="s">
        <v>619</v>
      </c>
      <c r="M37" s="1" t="s">
        <v>620</v>
      </c>
      <c r="S37" s="1" t="s">
        <v>0</v>
      </c>
      <c r="V37" s="1" t="s">
        <v>621</v>
      </c>
      <c r="AB37" s="1" t="s">
        <v>0</v>
      </c>
      <c r="AE37" s="1" t="s">
        <v>622</v>
      </c>
      <c r="AK37" s="1" t="s">
        <v>0</v>
      </c>
    </row>
    <row r="38" ht="14.25" customHeight="1">
      <c r="C38" s="1" t="s">
        <v>540</v>
      </c>
      <c r="J38" s="1" t="s">
        <v>0</v>
      </c>
      <c r="L38" s="1" t="s">
        <v>540</v>
      </c>
      <c r="V38" s="1" t="s">
        <v>623</v>
      </c>
      <c r="AB38" s="1" t="s">
        <v>0</v>
      </c>
      <c r="AD38" s="1" t="s">
        <v>540</v>
      </c>
      <c r="AK38" s="1" t="s">
        <v>0</v>
      </c>
    </row>
    <row r="39" ht="14.25" customHeight="1">
      <c r="D39" s="1" t="s">
        <v>624</v>
      </c>
      <c r="J39" s="1" t="s">
        <v>0</v>
      </c>
      <c r="M39" s="1" t="s">
        <v>625</v>
      </c>
      <c r="U39" s="1" t="s">
        <v>540</v>
      </c>
      <c r="AB39" s="1" t="s">
        <v>0</v>
      </c>
      <c r="AE39" s="1" t="s">
        <v>626</v>
      </c>
    </row>
    <row r="40" ht="14.25" customHeight="1">
      <c r="D40" s="1" t="s">
        <v>627</v>
      </c>
      <c r="J40" s="1" t="s">
        <v>0</v>
      </c>
      <c r="M40" s="1" t="s">
        <v>628</v>
      </c>
      <c r="V40" s="1" t="s">
        <v>629</v>
      </c>
      <c r="AB40" s="1" t="s">
        <v>0</v>
      </c>
      <c r="AE40" s="1" t="s">
        <v>630</v>
      </c>
    </row>
    <row r="41" ht="14.25" customHeight="1">
      <c r="D41" s="1" t="s">
        <v>631</v>
      </c>
      <c r="J41" s="1" t="s">
        <v>0</v>
      </c>
      <c r="M41" s="1" t="s">
        <v>632</v>
      </c>
      <c r="V41" s="1" t="s">
        <v>633</v>
      </c>
      <c r="AB41" s="1" t="s">
        <v>0</v>
      </c>
      <c r="AE41" s="1" t="s">
        <v>634</v>
      </c>
    </row>
    <row r="42" ht="14.25" customHeight="1">
      <c r="D42" s="1" t="s">
        <v>635</v>
      </c>
      <c r="J42" s="1" t="s">
        <v>0</v>
      </c>
      <c r="M42" s="1" t="s">
        <v>636</v>
      </c>
      <c r="V42" s="1" t="s">
        <v>637</v>
      </c>
      <c r="AB42" s="1" t="s">
        <v>0</v>
      </c>
      <c r="AE42" s="1" t="s">
        <v>638</v>
      </c>
    </row>
    <row r="43" ht="14.25" customHeight="1">
      <c r="C43" s="1" t="s">
        <v>558</v>
      </c>
      <c r="J43" s="1" t="s">
        <v>0</v>
      </c>
      <c r="L43" s="1" t="s">
        <v>558</v>
      </c>
      <c r="V43" s="1" t="s">
        <v>639</v>
      </c>
      <c r="AB43" s="1" t="s">
        <v>0</v>
      </c>
      <c r="AE43" s="1" t="s">
        <v>640</v>
      </c>
    </row>
    <row r="44" ht="14.25" customHeight="1">
      <c r="D44" s="1" t="s">
        <v>641</v>
      </c>
      <c r="M44" s="1" t="s">
        <v>642</v>
      </c>
      <c r="V44" s="1" t="s">
        <v>643</v>
      </c>
      <c r="AB44" s="1" t="s">
        <v>0</v>
      </c>
      <c r="AD44" s="1" t="s">
        <v>558</v>
      </c>
    </row>
    <row r="45" ht="14.25" customHeight="1">
      <c r="D45" s="1" t="s">
        <v>644</v>
      </c>
      <c r="J45" s="1" t="s">
        <v>0</v>
      </c>
      <c r="M45" s="1" t="s">
        <v>645</v>
      </c>
      <c r="S45" s="1" t="s">
        <v>0</v>
      </c>
      <c r="V45" s="1" t="s">
        <v>646</v>
      </c>
      <c r="AB45" s="1" t="s">
        <v>0</v>
      </c>
      <c r="AE45" s="1" t="s">
        <v>647</v>
      </c>
    </row>
    <row r="46" ht="14.25" customHeight="1">
      <c r="D46" s="1" t="s">
        <v>648</v>
      </c>
      <c r="J46" s="1" t="s">
        <v>0</v>
      </c>
      <c r="M46" s="1" t="s">
        <v>649</v>
      </c>
      <c r="S46" s="1" t="s">
        <v>0</v>
      </c>
      <c r="V46" s="1" t="s">
        <v>650</v>
      </c>
      <c r="AB46" s="1" t="s">
        <v>0</v>
      </c>
      <c r="AE46" s="1" t="s">
        <v>651</v>
      </c>
    </row>
    <row r="47" ht="14.25" customHeight="1">
      <c r="D47" s="1" t="s">
        <v>652</v>
      </c>
      <c r="J47" s="1" t="s">
        <v>0</v>
      </c>
      <c r="M47" s="1" t="s">
        <v>653</v>
      </c>
      <c r="S47" s="1" t="s">
        <v>0</v>
      </c>
      <c r="U47" s="1" t="s">
        <v>558</v>
      </c>
      <c r="AB47" s="1" t="s">
        <v>0</v>
      </c>
      <c r="AE47" s="1" t="s">
        <v>654</v>
      </c>
    </row>
    <row r="48" ht="14.25" customHeight="1">
      <c r="D48" s="1" t="s">
        <v>655</v>
      </c>
      <c r="E48" s="286"/>
      <c r="J48" s="1" t="s">
        <v>0</v>
      </c>
      <c r="M48" s="1" t="s">
        <v>656</v>
      </c>
      <c r="S48" s="1" t="s">
        <v>0</v>
      </c>
      <c r="V48" s="1" t="s">
        <v>657</v>
      </c>
      <c r="AB48" s="1" t="s">
        <v>0</v>
      </c>
      <c r="AE48" s="1" t="s">
        <v>658</v>
      </c>
    </row>
    <row r="49" ht="14.25" customHeight="1">
      <c r="D49" s="1" t="s">
        <v>659</v>
      </c>
      <c r="J49" s="1" t="s">
        <v>0</v>
      </c>
      <c r="M49" s="1" t="s">
        <v>660</v>
      </c>
      <c r="S49" s="1" t="s">
        <v>0</v>
      </c>
      <c r="V49" s="1" t="s">
        <v>661</v>
      </c>
      <c r="AB49" s="1" t="s">
        <v>0</v>
      </c>
      <c r="AE49" s="1" t="s">
        <v>662</v>
      </c>
    </row>
    <row r="50" ht="14.25" customHeight="1">
      <c r="D50" s="1" t="s">
        <v>663</v>
      </c>
      <c r="J50" s="1" t="s">
        <v>0</v>
      </c>
      <c r="M50" s="1" t="s">
        <v>664</v>
      </c>
      <c r="S50" s="1" t="s">
        <v>0</v>
      </c>
      <c r="V50" s="1" t="s">
        <v>665</v>
      </c>
      <c r="AB50" s="1" t="s">
        <v>0</v>
      </c>
      <c r="AE50" s="1" t="s">
        <v>666</v>
      </c>
    </row>
    <row r="51" ht="14.25" customHeight="1">
      <c r="C51" s="1" t="s">
        <v>589</v>
      </c>
      <c r="L51" s="1" t="s">
        <v>589</v>
      </c>
      <c r="S51" s="1" t="s">
        <v>0</v>
      </c>
      <c r="V51" s="1" t="s">
        <v>667</v>
      </c>
      <c r="AB51" s="1" t="s">
        <v>0</v>
      </c>
      <c r="AE51" s="1" t="s">
        <v>668</v>
      </c>
    </row>
    <row r="52" ht="14.25" customHeight="1">
      <c r="D52" s="29" t="s">
        <v>669</v>
      </c>
      <c r="J52" s="1" t="s">
        <v>0</v>
      </c>
      <c r="M52" s="29" t="s">
        <v>670</v>
      </c>
      <c r="S52" s="1" t="s">
        <v>0</v>
      </c>
      <c r="V52" s="1" t="s">
        <v>671</v>
      </c>
      <c r="AB52" s="1" t="s">
        <v>0</v>
      </c>
      <c r="AD52" s="1" t="s">
        <v>672</v>
      </c>
    </row>
    <row r="53" ht="14.25" customHeight="1">
      <c r="D53" s="29" t="s">
        <v>673</v>
      </c>
      <c r="J53" s="1" t="s">
        <v>0</v>
      </c>
      <c r="M53" s="29" t="s">
        <v>595</v>
      </c>
      <c r="S53" s="1" t="s">
        <v>0</v>
      </c>
      <c r="V53" s="1" t="s">
        <v>674</v>
      </c>
      <c r="AB53" s="1" t="s">
        <v>0</v>
      </c>
      <c r="AD53" s="1" t="s">
        <v>675</v>
      </c>
    </row>
    <row r="54" ht="14.25" customHeight="1">
      <c r="D54" s="29" t="s">
        <v>676</v>
      </c>
      <c r="J54" s="1" t="s">
        <v>0</v>
      </c>
      <c r="M54" s="29" t="s">
        <v>598</v>
      </c>
      <c r="S54" s="1" t="s">
        <v>0</v>
      </c>
      <c r="V54" s="1" t="s">
        <v>677</v>
      </c>
      <c r="AB54" s="1" t="s">
        <v>0</v>
      </c>
    </row>
    <row r="55" ht="14.25" customHeight="1">
      <c r="D55" s="29" t="s">
        <v>678</v>
      </c>
      <c r="J55" s="1" t="s">
        <v>0</v>
      </c>
      <c r="M55" s="29" t="s">
        <v>679</v>
      </c>
      <c r="S55" s="1" t="s">
        <v>0</v>
      </c>
      <c r="U55" s="1" t="s">
        <v>589</v>
      </c>
      <c r="AB55" s="1" t="s">
        <v>0</v>
      </c>
    </row>
    <row r="56" ht="14.25" customHeight="1">
      <c r="D56" s="29" t="s">
        <v>680</v>
      </c>
      <c r="J56" s="1" t="s">
        <v>0</v>
      </c>
      <c r="M56" s="29" t="s">
        <v>681</v>
      </c>
      <c r="S56" s="1" t="s">
        <v>0</v>
      </c>
      <c r="V56" s="29" t="s">
        <v>682</v>
      </c>
    </row>
    <row r="57" ht="14.25" customHeight="1">
      <c r="D57" s="29" t="s">
        <v>683</v>
      </c>
      <c r="J57" s="1" t="s">
        <v>0</v>
      </c>
      <c r="M57" s="29" t="s">
        <v>684</v>
      </c>
      <c r="S57" s="1" t="s">
        <v>0</v>
      </c>
      <c r="V57" s="29" t="s">
        <v>595</v>
      </c>
    </row>
    <row r="58" ht="14.25" customHeight="1">
      <c r="D58" s="29" t="s">
        <v>685</v>
      </c>
      <c r="J58" s="1" t="s">
        <v>0</v>
      </c>
      <c r="M58" s="29" t="s">
        <v>686</v>
      </c>
      <c r="S58" s="1" t="s">
        <v>0</v>
      </c>
      <c r="V58" s="29" t="s">
        <v>598</v>
      </c>
    </row>
    <row r="59" ht="14.25" customHeight="1">
      <c r="C59" s="1" t="s">
        <v>687</v>
      </c>
      <c r="L59" s="1" t="s">
        <v>687</v>
      </c>
      <c r="S59" s="1" t="s">
        <v>0</v>
      </c>
      <c r="V59" s="29" t="s">
        <v>679</v>
      </c>
    </row>
    <row r="60" ht="14.25" customHeight="1">
      <c r="D60" s="29" t="s">
        <v>688</v>
      </c>
      <c r="J60" s="1" t="s">
        <v>0</v>
      </c>
      <c r="S60" s="1" t="s">
        <v>0</v>
      </c>
      <c r="V60" s="29" t="s">
        <v>681</v>
      </c>
    </row>
    <row r="61" ht="14.25" customHeight="1">
      <c r="S61" s="1" t="s">
        <v>0</v>
      </c>
      <c r="V61" s="29" t="s">
        <v>684</v>
      </c>
    </row>
    <row r="62" ht="14.25" customHeight="1">
      <c r="S62" s="1" t="s">
        <v>0</v>
      </c>
      <c r="V62" s="29" t="s">
        <v>686</v>
      </c>
    </row>
    <row r="63" ht="14.25" customHeight="1">
      <c r="C63" s="281" t="s">
        <v>689</v>
      </c>
      <c r="D63" s="282"/>
      <c r="E63" s="283" t="s">
        <v>160</v>
      </c>
      <c r="F63" s="282"/>
      <c r="G63" s="282"/>
      <c r="H63" s="282"/>
      <c r="I63" s="282"/>
      <c r="U63" s="1" t="s">
        <v>687</v>
      </c>
    </row>
    <row r="64" ht="14.25" customHeight="1">
      <c r="C64" s="1" t="s">
        <v>524</v>
      </c>
      <c r="J64" s="1" t="s">
        <v>0</v>
      </c>
    </row>
    <row r="65" ht="14.25" customHeight="1">
      <c r="D65" s="1" t="s">
        <v>690</v>
      </c>
      <c r="J65" s="1" t="s">
        <v>0</v>
      </c>
      <c r="AD65" s="1" t="s">
        <v>691</v>
      </c>
    </row>
    <row r="66" ht="14.25" customHeight="1">
      <c r="D66" s="1" t="s">
        <v>692</v>
      </c>
      <c r="J66" s="1" t="s">
        <v>0</v>
      </c>
      <c r="AD66" s="1" t="s">
        <v>693</v>
      </c>
    </row>
    <row r="67" ht="14.25" customHeight="1">
      <c r="D67" s="1" t="s">
        <v>694</v>
      </c>
      <c r="J67" s="1" t="s">
        <v>0</v>
      </c>
    </row>
    <row r="68" ht="14.25" customHeight="1">
      <c r="D68" s="29" t="s">
        <v>695</v>
      </c>
      <c r="J68" s="1" t="s">
        <v>0</v>
      </c>
    </row>
    <row r="69" ht="14.25" customHeight="1">
      <c r="C69" s="1" t="s">
        <v>540</v>
      </c>
      <c r="J69" s="1" t="s">
        <v>0</v>
      </c>
    </row>
    <row r="70" ht="14.25" customHeight="1">
      <c r="D70" s="1" t="s">
        <v>696</v>
      </c>
      <c r="J70" s="1" t="s">
        <v>0</v>
      </c>
    </row>
    <row r="71" ht="14.25" customHeight="1">
      <c r="D71" s="1" t="s">
        <v>697</v>
      </c>
      <c r="J71" s="1" t="s">
        <v>0</v>
      </c>
    </row>
    <row r="72" ht="14.25" customHeight="1">
      <c r="D72" s="1" t="s">
        <v>698</v>
      </c>
      <c r="J72" s="1" t="s">
        <v>0</v>
      </c>
    </row>
    <row r="73" ht="14.25" customHeight="1">
      <c r="D73" s="1" t="s">
        <v>699</v>
      </c>
    </row>
    <row r="74" ht="14.25" customHeight="1">
      <c r="D74" s="1" t="s">
        <v>700</v>
      </c>
      <c r="J74" s="1" t="s">
        <v>0</v>
      </c>
    </row>
    <row r="75" ht="14.25" customHeight="1">
      <c r="D75" s="1" t="s">
        <v>701</v>
      </c>
    </row>
    <row r="76" ht="14.25" customHeight="1">
      <c r="D76" s="1" t="s">
        <v>702</v>
      </c>
      <c r="J76" s="1" t="s">
        <v>0</v>
      </c>
    </row>
    <row r="77" ht="14.25" customHeight="1">
      <c r="C77" s="1" t="s">
        <v>558</v>
      </c>
    </row>
    <row r="78" ht="14.25" customHeight="1">
      <c r="D78" s="1" t="s">
        <v>588</v>
      </c>
      <c r="J78" s="1" t="s">
        <v>0</v>
      </c>
    </row>
    <row r="79" ht="14.25" customHeight="1">
      <c r="D79" s="1" t="s">
        <v>703</v>
      </c>
      <c r="J79" s="1" t="s">
        <v>0</v>
      </c>
    </row>
    <row r="80" ht="14.25" customHeight="1">
      <c r="D80" s="1" t="s">
        <v>704</v>
      </c>
      <c r="J80" s="1" t="s">
        <v>0</v>
      </c>
    </row>
    <row r="81" ht="14.25" customHeight="1">
      <c r="D81" s="1" t="s">
        <v>598</v>
      </c>
      <c r="E81" s="286"/>
      <c r="J81" s="1" t="s">
        <v>0</v>
      </c>
    </row>
    <row r="82" ht="14.25" customHeight="1">
      <c r="D82" s="1" t="s">
        <v>705</v>
      </c>
      <c r="J82" s="1" t="s">
        <v>0</v>
      </c>
    </row>
    <row r="83" ht="14.25" customHeight="1">
      <c r="D83" s="1" t="s">
        <v>679</v>
      </c>
      <c r="J83" s="1" t="s">
        <v>0</v>
      </c>
    </row>
    <row r="84" ht="14.25" customHeight="1">
      <c r="D84" s="1" t="s">
        <v>706</v>
      </c>
      <c r="J84" s="1" t="s">
        <v>0</v>
      </c>
    </row>
    <row r="85" ht="14.25" customHeight="1">
      <c r="C85" s="1" t="s">
        <v>589</v>
      </c>
      <c r="J85" s="1" t="s">
        <v>0</v>
      </c>
    </row>
    <row r="86" ht="14.25" customHeight="1">
      <c r="D86" s="29" t="s">
        <v>707</v>
      </c>
      <c r="J86" s="1" t="s">
        <v>0</v>
      </c>
    </row>
    <row r="87" ht="14.25" customHeight="1">
      <c r="D87" s="29" t="s">
        <v>595</v>
      </c>
      <c r="J87" s="1" t="s">
        <v>0</v>
      </c>
    </row>
    <row r="88" ht="14.25" customHeight="1">
      <c r="D88" s="29" t="s">
        <v>598</v>
      </c>
      <c r="J88" s="1" t="s">
        <v>0</v>
      </c>
    </row>
    <row r="89" ht="14.25" customHeight="1">
      <c r="D89" s="29" t="s">
        <v>679</v>
      </c>
      <c r="J89" s="1" t="s">
        <v>0</v>
      </c>
    </row>
    <row r="90" ht="14.25" customHeight="1">
      <c r="D90" s="29" t="s">
        <v>681</v>
      </c>
      <c r="J90" s="1" t="s">
        <v>0</v>
      </c>
    </row>
    <row r="91" ht="14.25" customHeight="1">
      <c r="D91" s="29" t="s">
        <v>684</v>
      </c>
      <c r="J91" s="1" t="s">
        <v>0</v>
      </c>
    </row>
    <row r="92" ht="14.25" customHeight="1">
      <c r="D92" s="29" t="s">
        <v>686</v>
      </c>
    </row>
    <row r="93" ht="14.25" customHeight="1">
      <c r="C93" s="1" t="s">
        <v>687</v>
      </c>
      <c r="J93" s="1" t="s">
        <v>0</v>
      </c>
    </row>
    <row r="94" ht="14.25" customHeight="1">
      <c r="D94" s="29"/>
    </row>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E3">
    <cfRule type="containsText" dxfId="8" priority="1" operator="containsText" text="CAR">
      <formula>NOT(ISERROR(SEARCH(("CAR"),(E3))))</formula>
    </cfRule>
  </conditionalFormatting>
  <conditionalFormatting sqref="E3">
    <cfRule type="containsText" dxfId="1" priority="2" operator="containsText" text="AGI">
      <formula>NOT(ISERROR(SEARCH(("AGI"),(E3))))</formula>
    </cfRule>
  </conditionalFormatting>
  <conditionalFormatting sqref="E3">
    <cfRule type="containsText" dxfId="2" priority="3" operator="containsText" text="PER">
      <formula>NOT(ISERROR(SEARCH(("PER"),(E3))))</formula>
    </cfRule>
  </conditionalFormatting>
  <conditionalFormatting sqref="E3">
    <cfRule type="containsText" dxfId="3" priority="4" operator="containsText" text="WIL">
      <formula>NOT(ISERROR(SEARCH(("WIL"),(E3))))</formula>
    </cfRule>
  </conditionalFormatting>
  <conditionalFormatting sqref="E3">
    <cfRule type="containsText" dxfId="4" priority="5" operator="containsText" text="INT">
      <formula>NOT(ISERROR(SEARCH(("INT"),(E3))))</formula>
    </cfRule>
  </conditionalFormatting>
  <conditionalFormatting sqref="E3">
    <cfRule type="containsText" dxfId="5" priority="6" operator="containsText" text="STR">
      <formula>NOT(ISERROR(SEARCH(("STR"),(E3))))</formula>
    </cfRule>
  </conditionalFormatting>
  <conditionalFormatting sqref="N3">
    <cfRule type="containsText" dxfId="8" priority="7" operator="containsText" text="CAR">
      <formula>NOT(ISERROR(SEARCH(("CAR"),(N3))))</formula>
    </cfRule>
  </conditionalFormatting>
  <conditionalFormatting sqref="N3">
    <cfRule type="containsText" dxfId="1" priority="8" operator="containsText" text="AGI">
      <formula>NOT(ISERROR(SEARCH(("AGI"),(N3))))</formula>
    </cfRule>
  </conditionalFormatting>
  <conditionalFormatting sqref="N3">
    <cfRule type="containsText" dxfId="2" priority="9" operator="containsText" text="PER">
      <formula>NOT(ISERROR(SEARCH(("PER"),(N3))))</formula>
    </cfRule>
  </conditionalFormatting>
  <conditionalFormatting sqref="N3">
    <cfRule type="containsText" dxfId="3" priority="10" operator="containsText" text="WIL">
      <formula>NOT(ISERROR(SEARCH(("WIL"),(N3))))</formula>
    </cfRule>
  </conditionalFormatting>
  <conditionalFormatting sqref="N3">
    <cfRule type="containsText" dxfId="4" priority="11" operator="containsText" text="INT">
      <formula>NOT(ISERROR(SEARCH(("INT"),(N3))))</formula>
    </cfRule>
  </conditionalFormatting>
  <conditionalFormatting sqref="N3">
    <cfRule type="containsText" dxfId="5" priority="12" operator="containsText" text="STR">
      <formula>NOT(ISERROR(SEARCH(("STR"),(N3))))</formula>
    </cfRule>
  </conditionalFormatting>
  <conditionalFormatting sqref="W3">
    <cfRule type="containsText" dxfId="8" priority="13" operator="containsText" text="CAR">
      <formula>NOT(ISERROR(SEARCH(("CAR"),(W3))))</formula>
    </cfRule>
  </conditionalFormatting>
  <conditionalFormatting sqref="W3">
    <cfRule type="containsText" dxfId="1" priority="14" operator="containsText" text="AGI">
      <formula>NOT(ISERROR(SEARCH(("AGI"),(W3))))</formula>
    </cfRule>
  </conditionalFormatting>
  <conditionalFormatting sqref="W3">
    <cfRule type="containsText" dxfId="2" priority="15" operator="containsText" text="PER">
      <formula>NOT(ISERROR(SEARCH(("PER"),(W3))))</formula>
    </cfRule>
  </conditionalFormatting>
  <conditionalFormatting sqref="W3">
    <cfRule type="containsText" dxfId="3" priority="16" operator="containsText" text="WIL">
      <formula>NOT(ISERROR(SEARCH(("WIL"),(W3))))</formula>
    </cfRule>
  </conditionalFormatting>
  <conditionalFormatting sqref="W3">
    <cfRule type="containsText" dxfId="4" priority="17" operator="containsText" text="INT">
      <formula>NOT(ISERROR(SEARCH(("INT"),(W3))))</formula>
    </cfRule>
  </conditionalFormatting>
  <conditionalFormatting sqref="W3">
    <cfRule type="containsText" dxfId="5" priority="18" operator="containsText" text="STR">
      <formula>NOT(ISERROR(SEARCH(("STR"),(W3))))</formula>
    </cfRule>
  </conditionalFormatting>
  <conditionalFormatting sqref="E32">
    <cfRule type="containsText" dxfId="8" priority="19" operator="containsText" text="CAR">
      <formula>NOT(ISERROR(SEARCH(("CAR"),(E32))))</formula>
    </cfRule>
  </conditionalFormatting>
  <conditionalFormatting sqref="E32">
    <cfRule type="containsText" dxfId="1" priority="20" operator="containsText" text="AGI">
      <formula>NOT(ISERROR(SEARCH(("AGI"),(E32))))</formula>
    </cfRule>
  </conditionalFormatting>
  <conditionalFormatting sqref="E32">
    <cfRule type="containsText" dxfId="2" priority="21" operator="containsText" text="PER">
      <formula>NOT(ISERROR(SEARCH(("PER"),(E32))))</formula>
    </cfRule>
  </conditionalFormatting>
  <conditionalFormatting sqref="E32">
    <cfRule type="containsText" dxfId="3" priority="22" operator="containsText" text="WIL">
      <formula>NOT(ISERROR(SEARCH(("WIL"),(E32))))</formula>
    </cfRule>
  </conditionalFormatting>
  <conditionalFormatting sqref="E32">
    <cfRule type="containsText" dxfId="4" priority="23" operator="containsText" text="INT">
      <formula>NOT(ISERROR(SEARCH(("INT"),(E32))))</formula>
    </cfRule>
  </conditionalFormatting>
  <conditionalFormatting sqref="E32">
    <cfRule type="containsText" dxfId="5" priority="24" operator="containsText" text="STR">
      <formula>NOT(ISERROR(SEARCH(("STR"),(E32))))</formula>
    </cfRule>
  </conditionalFormatting>
  <conditionalFormatting sqref="W32">
    <cfRule type="containsText" dxfId="8" priority="25" operator="containsText" text="CAR">
      <formula>NOT(ISERROR(SEARCH(("CAR"),(W32))))</formula>
    </cfRule>
  </conditionalFormatting>
  <conditionalFormatting sqref="W32">
    <cfRule type="containsText" dxfId="1" priority="26" operator="containsText" text="AGI">
      <formula>NOT(ISERROR(SEARCH(("AGI"),(W32))))</formula>
    </cfRule>
  </conditionalFormatting>
  <conditionalFormatting sqref="W32">
    <cfRule type="containsText" dxfId="2" priority="27" operator="containsText" text="PER">
      <formula>NOT(ISERROR(SEARCH(("PER"),(W32))))</formula>
    </cfRule>
  </conditionalFormatting>
  <conditionalFormatting sqref="W32">
    <cfRule type="containsText" dxfId="3" priority="28" operator="containsText" text="WIL">
      <formula>NOT(ISERROR(SEARCH(("WIL"),(W32))))</formula>
    </cfRule>
  </conditionalFormatting>
  <conditionalFormatting sqref="W32">
    <cfRule type="containsText" dxfId="4" priority="29" operator="containsText" text="INT">
      <formula>NOT(ISERROR(SEARCH(("INT"),(W32))))</formula>
    </cfRule>
  </conditionalFormatting>
  <conditionalFormatting sqref="W32">
    <cfRule type="containsText" dxfId="5" priority="30" operator="containsText" text="STR">
      <formula>NOT(ISERROR(SEARCH(("STR"),(W32))))</formula>
    </cfRule>
  </conditionalFormatting>
  <conditionalFormatting sqref="N32">
    <cfRule type="containsText" dxfId="8" priority="31" operator="containsText" text="CAR">
      <formula>NOT(ISERROR(SEARCH(("CAR"),(N32))))</formula>
    </cfRule>
  </conditionalFormatting>
  <conditionalFormatting sqref="N32">
    <cfRule type="containsText" dxfId="1" priority="32" operator="containsText" text="AGI">
      <formula>NOT(ISERROR(SEARCH(("AGI"),(N32))))</formula>
    </cfRule>
  </conditionalFormatting>
  <conditionalFormatting sqref="N32">
    <cfRule type="containsText" dxfId="2" priority="33" operator="containsText" text="PER">
      <formula>NOT(ISERROR(SEARCH(("PER"),(N32))))</formula>
    </cfRule>
  </conditionalFormatting>
  <conditionalFormatting sqref="N32">
    <cfRule type="containsText" dxfId="3" priority="34" operator="containsText" text="WIL">
      <formula>NOT(ISERROR(SEARCH(("WIL"),(N32))))</formula>
    </cfRule>
  </conditionalFormatting>
  <conditionalFormatting sqref="N32">
    <cfRule type="containsText" dxfId="4" priority="35" operator="containsText" text="INT">
      <formula>NOT(ISERROR(SEARCH(("INT"),(N32))))</formula>
    </cfRule>
  </conditionalFormatting>
  <conditionalFormatting sqref="N32">
    <cfRule type="containsText" dxfId="5" priority="36" operator="containsText" text="STR">
      <formula>NOT(ISERROR(SEARCH(("STR"),(N32))))</formula>
    </cfRule>
  </conditionalFormatting>
  <conditionalFormatting sqref="E63">
    <cfRule type="containsText" dxfId="8" priority="37" operator="containsText" text="CAR">
      <formula>NOT(ISERROR(SEARCH(("CAR"),(E63))))</formula>
    </cfRule>
  </conditionalFormatting>
  <conditionalFormatting sqref="E63">
    <cfRule type="containsText" dxfId="1" priority="38" operator="containsText" text="AGI">
      <formula>NOT(ISERROR(SEARCH(("AGI"),(E63))))</formula>
    </cfRule>
  </conditionalFormatting>
  <conditionalFormatting sqref="E63">
    <cfRule type="containsText" dxfId="2" priority="39" operator="containsText" text="PER">
      <formula>NOT(ISERROR(SEARCH(("PER"),(E63))))</formula>
    </cfRule>
  </conditionalFormatting>
  <conditionalFormatting sqref="E63">
    <cfRule type="containsText" dxfId="3" priority="40" operator="containsText" text="WIL">
      <formula>NOT(ISERROR(SEARCH(("WIL"),(E63))))</formula>
    </cfRule>
  </conditionalFormatting>
  <conditionalFormatting sqref="E63">
    <cfRule type="containsText" dxfId="4" priority="41" operator="containsText" text="INT">
      <formula>NOT(ISERROR(SEARCH(("INT"),(E63))))</formula>
    </cfRule>
  </conditionalFormatting>
  <conditionalFormatting sqref="E63">
    <cfRule type="containsText" dxfId="5" priority="42" operator="containsText" text="STR">
      <formula>NOT(ISERROR(SEARCH(("STR"),(E63))))</formula>
    </cfRule>
  </conditionalFormatting>
  <conditionalFormatting sqref="AF3">
    <cfRule type="containsText" dxfId="8" priority="43" operator="containsText" text="CAR">
      <formula>NOT(ISERROR(SEARCH(("CAR"),(AF3))))</formula>
    </cfRule>
  </conditionalFormatting>
  <conditionalFormatting sqref="AF3">
    <cfRule type="containsText" dxfId="1" priority="44" operator="containsText" text="AGI">
      <formula>NOT(ISERROR(SEARCH(("AGI"),(AF3))))</formula>
    </cfRule>
  </conditionalFormatting>
  <conditionalFormatting sqref="AF3">
    <cfRule type="containsText" dxfId="2" priority="45" operator="containsText" text="PER">
      <formula>NOT(ISERROR(SEARCH(("PER"),(AF3))))</formula>
    </cfRule>
  </conditionalFormatting>
  <conditionalFormatting sqref="AF3">
    <cfRule type="containsText" dxfId="3" priority="46" operator="containsText" text="WIL">
      <formula>NOT(ISERROR(SEARCH(("WIL"),(AF3))))</formula>
    </cfRule>
  </conditionalFormatting>
  <conditionalFormatting sqref="AF3">
    <cfRule type="containsText" dxfId="4" priority="47" operator="containsText" text="INT">
      <formula>NOT(ISERROR(SEARCH(("INT"),(AF3))))</formula>
    </cfRule>
  </conditionalFormatting>
  <conditionalFormatting sqref="AF3">
    <cfRule type="containsText" dxfId="5" priority="48" operator="containsText" text="STR">
      <formula>NOT(ISERROR(SEARCH(("STR"),(AF3))))</formula>
    </cfRule>
  </conditionalFormatting>
  <conditionalFormatting sqref="AF32">
    <cfRule type="containsText" dxfId="8" priority="49" operator="containsText" text="CAR">
      <formula>NOT(ISERROR(SEARCH(("CAR"),(AF32))))</formula>
    </cfRule>
  </conditionalFormatting>
  <conditionalFormatting sqref="AF32">
    <cfRule type="containsText" dxfId="1" priority="50" operator="containsText" text="AGI">
      <formula>NOT(ISERROR(SEARCH(("AGI"),(AF32))))</formula>
    </cfRule>
  </conditionalFormatting>
  <conditionalFormatting sqref="AF32">
    <cfRule type="containsText" dxfId="2" priority="51" operator="containsText" text="PER">
      <formula>NOT(ISERROR(SEARCH(("PER"),(AF32))))</formula>
    </cfRule>
  </conditionalFormatting>
  <conditionalFormatting sqref="AF32">
    <cfRule type="containsText" dxfId="3" priority="52" operator="containsText" text="WIL">
      <formula>NOT(ISERROR(SEARCH(("WIL"),(AF32))))</formula>
    </cfRule>
  </conditionalFormatting>
  <conditionalFormatting sqref="AF32">
    <cfRule type="containsText" dxfId="4" priority="53" operator="containsText" text="INT">
      <formula>NOT(ISERROR(SEARCH(("INT"),(AF32))))</formula>
    </cfRule>
  </conditionalFormatting>
  <conditionalFormatting sqref="AF32">
    <cfRule type="containsText" dxfId="5" priority="54" operator="containsText" text="STR">
      <formula>NOT(ISERROR(SEARCH(("STR"),(AF32))))</formula>
    </cfRule>
  </conditionalFormatting>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c r="C5" s="1" t="s">
        <v>502</v>
      </c>
    </row>
    <row r="6" ht="14.25" customHeight="1"/>
    <row r="7" ht="14.25" customHeight="1">
      <c r="C7" s="169" t="s">
        <v>503</v>
      </c>
      <c r="D7" s="169"/>
      <c r="G7" s="287">
        <v>1.0</v>
      </c>
      <c r="H7" s="288" t="s">
        <v>708</v>
      </c>
      <c r="I7" s="4"/>
      <c r="J7" s="289" t="s">
        <v>709</v>
      </c>
      <c r="K7" s="3"/>
      <c r="L7" s="3"/>
      <c r="M7" s="4"/>
      <c r="N7" s="288" t="s">
        <v>710</v>
      </c>
      <c r="O7" s="4"/>
      <c r="R7" s="1" t="s">
        <v>711</v>
      </c>
    </row>
    <row r="8" ht="14.25" customHeight="1">
      <c r="C8" s="169" t="s">
        <v>504</v>
      </c>
      <c r="D8" s="169"/>
      <c r="G8" s="180"/>
      <c r="H8" s="47"/>
      <c r="I8" s="179"/>
      <c r="J8" s="47"/>
      <c r="K8" s="48"/>
      <c r="L8" s="48"/>
      <c r="M8" s="179"/>
      <c r="N8" s="47"/>
      <c r="O8" s="179"/>
      <c r="R8" s="1" t="s">
        <v>712</v>
      </c>
    </row>
    <row r="9" ht="14.25" customHeight="1">
      <c r="C9" s="169" t="s">
        <v>505</v>
      </c>
      <c r="D9" s="169"/>
      <c r="G9" s="290">
        <v>2.0</v>
      </c>
      <c r="H9" s="291" t="s">
        <v>713</v>
      </c>
      <c r="J9" s="292" t="s">
        <v>714</v>
      </c>
    </row>
    <row r="10" ht="14.25" customHeight="1">
      <c r="C10" s="169" t="s">
        <v>506</v>
      </c>
      <c r="D10" s="169"/>
      <c r="R10" s="291" t="s">
        <v>715</v>
      </c>
    </row>
    <row r="11" ht="14.25" customHeight="1">
      <c r="C11" s="169" t="s">
        <v>507</v>
      </c>
      <c r="D11" s="169"/>
      <c r="E11" s="169"/>
      <c r="G11" s="287">
        <v>3.0</v>
      </c>
      <c r="H11" s="293" t="s">
        <v>716</v>
      </c>
      <c r="I11" s="4"/>
      <c r="J11" s="289" t="s">
        <v>717</v>
      </c>
      <c r="K11" s="3"/>
      <c r="L11" s="3"/>
      <c r="M11" s="4"/>
      <c r="N11" s="294"/>
      <c r="O11" s="294"/>
    </row>
    <row r="12" ht="14.25" customHeight="1">
      <c r="C12" s="169" t="s">
        <v>508</v>
      </c>
      <c r="D12" s="169"/>
      <c r="G12" s="180"/>
      <c r="H12" s="47"/>
      <c r="I12" s="179"/>
      <c r="J12" s="47"/>
      <c r="K12" s="48"/>
      <c r="L12" s="48"/>
      <c r="M12" s="179"/>
      <c r="N12" s="294"/>
      <c r="O12" s="294"/>
      <c r="R12" s="291" t="s">
        <v>718</v>
      </c>
    </row>
    <row r="13" ht="14.25" customHeight="1">
      <c r="C13" s="169" t="s">
        <v>510</v>
      </c>
      <c r="D13" s="169"/>
      <c r="G13" s="290">
        <v>4.0</v>
      </c>
      <c r="H13" s="291" t="s">
        <v>719</v>
      </c>
      <c r="J13" s="292" t="s">
        <v>720</v>
      </c>
    </row>
    <row r="14" ht="14.25" customHeight="1">
      <c r="C14" s="169" t="s">
        <v>511</v>
      </c>
      <c r="R14" s="1" t="s">
        <v>721</v>
      </c>
    </row>
    <row r="15" ht="14.25" customHeight="1">
      <c r="C15" s="169" t="s">
        <v>512</v>
      </c>
      <c r="D15" s="169"/>
      <c r="E15" s="169"/>
      <c r="G15" s="287">
        <v>5.0</v>
      </c>
      <c r="H15" s="288" t="s">
        <v>722</v>
      </c>
      <c r="I15" s="4"/>
      <c r="J15" s="294"/>
      <c r="K15" s="294"/>
      <c r="L15" s="294"/>
      <c r="M15" s="294"/>
      <c r="N15" s="288" t="s">
        <v>723</v>
      </c>
      <c r="O15" s="4"/>
      <c r="R15" s="1" t="s">
        <v>724</v>
      </c>
    </row>
    <row r="16" ht="14.25" customHeight="1">
      <c r="C16" s="169" t="s">
        <v>513</v>
      </c>
      <c r="D16" s="169"/>
      <c r="G16" s="180"/>
      <c r="H16" s="47"/>
      <c r="I16" s="179"/>
      <c r="J16" s="294"/>
      <c r="K16" s="294"/>
      <c r="L16" s="294"/>
      <c r="M16" s="294"/>
      <c r="N16" s="47"/>
      <c r="O16" s="179"/>
      <c r="R16" s="295" t="s">
        <v>725</v>
      </c>
    </row>
    <row r="17" ht="14.25" customHeight="1">
      <c r="C17" s="169" t="s">
        <v>514</v>
      </c>
    </row>
    <row r="18" ht="14.25" customHeight="1">
      <c r="C18" s="169" t="s">
        <v>516</v>
      </c>
      <c r="D18" s="169"/>
      <c r="E18" s="169"/>
      <c r="G18" s="296"/>
      <c r="H18" s="296" t="s">
        <v>726</v>
      </c>
      <c r="I18" s="296"/>
      <c r="J18" s="296"/>
      <c r="K18" s="296"/>
      <c r="L18" s="296"/>
      <c r="M18" s="296"/>
      <c r="N18" s="296"/>
      <c r="O18" s="296"/>
    </row>
    <row r="19" ht="14.25" customHeight="1">
      <c r="C19" s="169" t="s">
        <v>517</v>
      </c>
      <c r="D19" s="169"/>
      <c r="G19" s="290">
        <v>6.0</v>
      </c>
      <c r="H19" s="291" t="s">
        <v>715</v>
      </c>
      <c r="J19" s="292" t="s">
        <v>727</v>
      </c>
    </row>
    <row r="20" ht="14.25" customHeight="1">
      <c r="C20" s="169" t="s">
        <v>518</v>
      </c>
      <c r="D20" s="169"/>
      <c r="R20" s="297" t="s">
        <v>728</v>
      </c>
      <c r="S20" s="298"/>
      <c r="T20" s="297" t="s">
        <v>729</v>
      </c>
      <c r="U20" s="298"/>
      <c r="V20" s="298"/>
    </row>
    <row r="21" ht="14.25" customHeight="1">
      <c r="C21" s="169" t="s">
        <v>519</v>
      </c>
      <c r="D21" s="169"/>
      <c r="E21" s="169"/>
      <c r="G21" s="287">
        <v>7.0</v>
      </c>
      <c r="H21" s="288" t="s">
        <v>718</v>
      </c>
      <c r="I21" s="4"/>
      <c r="J21" s="299" t="s">
        <v>730</v>
      </c>
      <c r="K21" s="3"/>
      <c r="L21" s="3"/>
      <c r="M21" s="4"/>
      <c r="N21" s="288" t="s">
        <v>731</v>
      </c>
      <c r="O21" s="4"/>
      <c r="R21" s="300" t="s">
        <v>732</v>
      </c>
      <c r="S21" s="301" t="s">
        <v>733</v>
      </c>
      <c r="T21" s="302"/>
      <c r="U21" s="303"/>
      <c r="V21" s="303"/>
    </row>
    <row r="22" ht="14.25" customHeight="1">
      <c r="G22" s="180"/>
      <c r="H22" s="47"/>
      <c r="I22" s="179"/>
      <c r="J22" s="47"/>
      <c r="K22" s="48"/>
      <c r="L22" s="48"/>
      <c r="M22" s="179"/>
      <c r="N22" s="47"/>
      <c r="O22" s="179"/>
      <c r="R22" s="304"/>
      <c r="S22" s="1" t="s">
        <v>734</v>
      </c>
      <c r="W22" s="1" t="s">
        <v>0</v>
      </c>
    </row>
    <row r="23" ht="14.25" customHeight="1">
      <c r="R23" s="305"/>
      <c r="S23" s="1" t="s">
        <v>735</v>
      </c>
      <c r="W23" s="1" t="s">
        <v>0</v>
      </c>
    </row>
    <row r="24" ht="14.25" customHeight="1">
      <c r="G24" s="296"/>
      <c r="H24" s="296" t="s">
        <v>736</v>
      </c>
      <c r="I24" s="296"/>
      <c r="J24" s="296"/>
      <c r="K24" s="296"/>
      <c r="L24" s="296"/>
      <c r="M24" s="296"/>
      <c r="N24" s="296"/>
      <c r="O24" s="296"/>
      <c r="R24" s="306" t="s">
        <v>737</v>
      </c>
      <c r="S24" s="1" t="s">
        <v>738</v>
      </c>
    </row>
    <row r="25" ht="14.25" customHeight="1">
      <c r="G25" s="290">
        <v>8.0</v>
      </c>
      <c r="H25" s="291" t="s">
        <v>739</v>
      </c>
      <c r="J25" s="292" t="s">
        <v>740</v>
      </c>
      <c r="R25" s="307">
        <v>2.0</v>
      </c>
      <c r="S25" s="301" t="s">
        <v>741</v>
      </c>
      <c r="T25" s="302"/>
      <c r="U25" s="303"/>
      <c r="V25" s="303"/>
    </row>
    <row r="26" ht="14.25" customHeight="1">
      <c r="R26" s="305"/>
      <c r="S26" s="29" t="s">
        <v>742</v>
      </c>
      <c r="W26" s="1" t="s">
        <v>0</v>
      </c>
    </row>
    <row r="27" ht="14.25" customHeight="1">
      <c r="G27" s="287">
        <v>9.0</v>
      </c>
      <c r="H27" s="293" t="s">
        <v>743</v>
      </c>
      <c r="I27" s="4"/>
      <c r="J27" s="289" t="s">
        <v>744</v>
      </c>
      <c r="K27" s="3"/>
      <c r="L27" s="3"/>
      <c r="M27" s="4"/>
      <c r="N27" s="288" t="s">
        <v>745</v>
      </c>
      <c r="O27" s="4"/>
      <c r="R27" s="308" t="s">
        <v>746</v>
      </c>
      <c r="S27" s="29" t="s">
        <v>747</v>
      </c>
      <c r="W27" s="1" t="s">
        <v>0</v>
      </c>
    </row>
    <row r="28" ht="14.25" customHeight="1">
      <c r="G28" s="180"/>
      <c r="H28" s="47"/>
      <c r="I28" s="179"/>
      <c r="J28" s="47"/>
      <c r="K28" s="48"/>
      <c r="L28" s="48"/>
      <c r="M28" s="179"/>
      <c r="N28" s="47"/>
      <c r="O28" s="179"/>
      <c r="R28" s="300" t="s">
        <v>748</v>
      </c>
      <c r="S28" s="301" t="s">
        <v>749</v>
      </c>
      <c r="T28" s="302"/>
      <c r="U28" s="303"/>
      <c r="V28" s="303"/>
      <c r="W28" s="1" t="s">
        <v>0</v>
      </c>
    </row>
    <row r="29" ht="14.25" customHeight="1">
      <c r="R29" s="305"/>
      <c r="S29" s="29" t="s">
        <v>750</v>
      </c>
      <c r="W29" s="1" t="s">
        <v>0</v>
      </c>
    </row>
    <row r="30" ht="14.25" customHeight="1">
      <c r="G30" s="309"/>
      <c r="H30" s="309" t="s">
        <v>751</v>
      </c>
      <c r="I30" s="309"/>
      <c r="J30" s="309"/>
      <c r="K30" s="309"/>
      <c r="L30" s="309"/>
      <c r="M30" s="309"/>
      <c r="N30" s="309"/>
      <c r="O30" s="309"/>
      <c r="R30" s="306" t="s">
        <v>752</v>
      </c>
      <c r="S30" s="29" t="s">
        <v>753</v>
      </c>
      <c r="W30" s="1" t="s">
        <v>0</v>
      </c>
    </row>
    <row r="31" ht="14.25" customHeight="1">
      <c r="G31" s="290">
        <v>10.0</v>
      </c>
      <c r="H31" s="291" t="s">
        <v>754</v>
      </c>
      <c r="N31" s="211" t="s">
        <v>755</v>
      </c>
    </row>
    <row r="32" ht="15.0" customHeight="1"/>
    <row r="33" ht="14.25" customHeight="1">
      <c r="R33" s="310" t="s">
        <v>756</v>
      </c>
      <c r="S33" s="311"/>
      <c r="T33" s="310" t="s">
        <v>757</v>
      </c>
      <c r="U33" s="311"/>
      <c r="V33" s="311"/>
    </row>
    <row r="34" ht="14.25" customHeight="1">
      <c r="R34" s="312" t="s">
        <v>758</v>
      </c>
      <c r="S34" s="313" t="s">
        <v>733</v>
      </c>
      <c r="T34" s="302"/>
      <c r="U34" s="314"/>
      <c r="V34" s="314"/>
    </row>
    <row r="35" ht="14.25" customHeight="1">
      <c r="R35" s="304"/>
      <c r="S35" s="1" t="s">
        <v>759</v>
      </c>
      <c r="W35" s="1" t="s">
        <v>0</v>
      </c>
    </row>
    <row r="36" ht="14.25" customHeight="1">
      <c r="R36" s="305"/>
      <c r="S36" s="1" t="s">
        <v>760</v>
      </c>
      <c r="W36" s="1" t="s">
        <v>0</v>
      </c>
    </row>
    <row r="37" ht="14.25" customHeight="1">
      <c r="R37" s="315" t="s">
        <v>737</v>
      </c>
      <c r="S37" s="1" t="s">
        <v>738</v>
      </c>
    </row>
    <row r="38" ht="14.25" customHeight="1">
      <c r="R38" s="307">
        <v>2.0</v>
      </c>
      <c r="S38" s="313" t="s">
        <v>741</v>
      </c>
      <c r="T38" s="302"/>
      <c r="U38" s="314"/>
      <c r="V38" s="314"/>
    </row>
    <row r="39" ht="14.25" customHeight="1">
      <c r="R39" s="305"/>
      <c r="S39" s="29" t="s">
        <v>742</v>
      </c>
      <c r="W39" s="1" t="s">
        <v>0</v>
      </c>
    </row>
    <row r="40" ht="14.25" customHeight="1">
      <c r="R40" s="308" t="s">
        <v>746</v>
      </c>
      <c r="S40" s="29" t="s">
        <v>747</v>
      </c>
      <c r="W40" s="1" t="s">
        <v>0</v>
      </c>
    </row>
    <row r="41" ht="14.25" customHeight="1">
      <c r="R41" s="312" t="s">
        <v>748</v>
      </c>
      <c r="S41" s="313" t="s">
        <v>749</v>
      </c>
      <c r="T41" s="302"/>
      <c r="U41" s="314"/>
      <c r="V41" s="314"/>
      <c r="W41" s="1" t="s">
        <v>0</v>
      </c>
    </row>
    <row r="42" ht="14.25" customHeight="1">
      <c r="R42" s="305"/>
      <c r="S42" s="29" t="s">
        <v>761</v>
      </c>
      <c r="W42" s="1" t="s">
        <v>0</v>
      </c>
    </row>
    <row r="43" ht="14.25" customHeight="1">
      <c r="R43" s="315" t="s">
        <v>752</v>
      </c>
      <c r="S43" s="29" t="s">
        <v>762</v>
      </c>
      <c r="W43" s="1" t="s">
        <v>0</v>
      </c>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8">
    <mergeCell ref="R34:R36"/>
    <mergeCell ref="R38:R39"/>
    <mergeCell ref="R41:R42"/>
    <mergeCell ref="S38:T38"/>
    <mergeCell ref="S41:T41"/>
    <mergeCell ref="R21:R23"/>
    <mergeCell ref="S21:T21"/>
    <mergeCell ref="R25:R26"/>
    <mergeCell ref="S25:T25"/>
    <mergeCell ref="R28:R29"/>
    <mergeCell ref="S28:T28"/>
    <mergeCell ref="S34:T34"/>
    <mergeCell ref="R10:S11"/>
    <mergeCell ref="R12:S13"/>
    <mergeCell ref="R16:W17"/>
    <mergeCell ref="J13:M14"/>
    <mergeCell ref="N15:O16"/>
    <mergeCell ref="G7:G8"/>
    <mergeCell ref="H7:I8"/>
    <mergeCell ref="J7:M8"/>
    <mergeCell ref="N7:O8"/>
    <mergeCell ref="H9:I10"/>
    <mergeCell ref="J9:M10"/>
    <mergeCell ref="J11:M12"/>
    <mergeCell ref="G19:G20"/>
    <mergeCell ref="H19:I20"/>
    <mergeCell ref="J19:M20"/>
    <mergeCell ref="G21:G22"/>
    <mergeCell ref="H21:I22"/>
    <mergeCell ref="J21:M22"/>
    <mergeCell ref="N21:O22"/>
    <mergeCell ref="G9:G10"/>
    <mergeCell ref="G11:G12"/>
    <mergeCell ref="H11:I12"/>
    <mergeCell ref="G13:G14"/>
    <mergeCell ref="H13:I14"/>
    <mergeCell ref="G15:G16"/>
    <mergeCell ref="H15:I16"/>
    <mergeCell ref="G31:G32"/>
    <mergeCell ref="H31:I32"/>
    <mergeCell ref="N31:O32"/>
    <mergeCell ref="G25:G26"/>
    <mergeCell ref="H25:I26"/>
    <mergeCell ref="J25:M26"/>
    <mergeCell ref="G27:G28"/>
    <mergeCell ref="H27:I28"/>
    <mergeCell ref="J27:M28"/>
    <mergeCell ref="N27:O28"/>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v>1.0</v>
      </c>
      <c r="B1" s="1" t="s">
        <v>404</v>
      </c>
      <c r="C1" s="1" t="s">
        <v>42</v>
      </c>
      <c r="D1" s="1" t="s">
        <v>763</v>
      </c>
      <c r="E1" s="1" t="s">
        <v>764</v>
      </c>
      <c r="F1" s="1" t="s">
        <v>765</v>
      </c>
    </row>
    <row r="2" ht="14.25" customHeight="1">
      <c r="A2" s="1">
        <v>2.0</v>
      </c>
      <c r="B2" s="1" t="s">
        <v>410</v>
      </c>
      <c r="C2" s="1" t="s">
        <v>42</v>
      </c>
      <c r="D2" s="1" t="s">
        <v>763</v>
      </c>
      <c r="E2" s="1" t="s">
        <v>764</v>
      </c>
      <c r="F2" s="1" t="s">
        <v>766</v>
      </c>
    </row>
    <row r="3" ht="14.25" customHeight="1">
      <c r="A3" s="1">
        <v>3.0</v>
      </c>
      <c r="B3" s="1" t="s">
        <v>407</v>
      </c>
      <c r="C3" s="1" t="s">
        <v>42</v>
      </c>
      <c r="D3" s="1" t="s">
        <v>763</v>
      </c>
      <c r="E3" s="1" t="s">
        <v>764</v>
      </c>
      <c r="F3" s="1" t="s">
        <v>767</v>
      </c>
    </row>
    <row r="4" ht="14.25" customHeight="1">
      <c r="A4" s="1">
        <v>4.0</v>
      </c>
      <c r="B4" s="1" t="s">
        <v>411</v>
      </c>
      <c r="C4" s="1" t="s">
        <v>42</v>
      </c>
      <c r="D4" s="1" t="s">
        <v>763</v>
      </c>
      <c r="E4" s="1" t="s">
        <v>764</v>
      </c>
      <c r="F4" s="1" t="s">
        <v>768</v>
      </c>
    </row>
    <row r="5" ht="14.25" customHeight="1">
      <c r="A5" s="1">
        <v>5.0</v>
      </c>
      <c r="B5" s="1" t="s">
        <v>408</v>
      </c>
      <c r="C5" s="1" t="s">
        <v>42</v>
      </c>
      <c r="D5" s="1" t="s">
        <v>763</v>
      </c>
      <c r="E5" s="1" t="s">
        <v>764</v>
      </c>
      <c r="F5" s="1" t="s">
        <v>769</v>
      </c>
    </row>
    <row r="6" ht="14.25" customHeight="1">
      <c r="A6" s="1">
        <v>6.0</v>
      </c>
      <c r="B6" s="1" t="s">
        <v>770</v>
      </c>
      <c r="C6" s="1" t="s">
        <v>14</v>
      </c>
      <c r="D6" s="1" t="s">
        <v>763</v>
      </c>
      <c r="E6" s="1" t="s">
        <v>764</v>
      </c>
      <c r="F6" s="1" t="s">
        <v>771</v>
      </c>
    </row>
    <row r="7" ht="14.25" customHeight="1">
      <c r="A7" s="1">
        <v>7.0</v>
      </c>
      <c r="B7" s="1" t="s">
        <v>418</v>
      </c>
      <c r="C7" s="1" t="s">
        <v>14</v>
      </c>
      <c r="D7" s="1" t="s">
        <v>763</v>
      </c>
      <c r="E7" s="1" t="s">
        <v>764</v>
      </c>
      <c r="F7" s="1" t="s">
        <v>772</v>
      </c>
    </row>
    <row r="8" ht="14.25" customHeight="1">
      <c r="A8" s="1">
        <v>8.0</v>
      </c>
      <c r="B8" s="1" t="s">
        <v>416</v>
      </c>
      <c r="C8" s="1" t="s">
        <v>14</v>
      </c>
      <c r="D8" s="1" t="s">
        <v>763</v>
      </c>
      <c r="E8" s="1" t="s">
        <v>764</v>
      </c>
      <c r="F8" s="1" t="s">
        <v>773</v>
      </c>
    </row>
    <row r="9" ht="14.25" customHeight="1">
      <c r="A9" s="1">
        <v>9.0</v>
      </c>
      <c r="B9" s="1" t="s">
        <v>419</v>
      </c>
      <c r="C9" s="1" t="s">
        <v>14</v>
      </c>
      <c r="D9" s="1" t="s">
        <v>763</v>
      </c>
      <c r="E9" s="1" t="s">
        <v>764</v>
      </c>
      <c r="F9" s="1" t="s">
        <v>774</v>
      </c>
    </row>
    <row r="10" ht="14.25" customHeight="1">
      <c r="A10" s="1">
        <v>10.0</v>
      </c>
      <c r="B10" s="1" t="s">
        <v>426</v>
      </c>
      <c r="C10" s="1" t="s">
        <v>14</v>
      </c>
      <c r="D10" s="1" t="s">
        <v>763</v>
      </c>
      <c r="E10" s="1" t="s">
        <v>764</v>
      </c>
      <c r="F10" s="1" t="s">
        <v>775</v>
      </c>
    </row>
    <row r="11" ht="14.25" customHeight="1">
      <c r="A11" s="1">
        <v>11.0</v>
      </c>
      <c r="B11" s="1" t="s">
        <v>414</v>
      </c>
      <c r="C11" s="1" t="s">
        <v>14</v>
      </c>
      <c r="D11" s="1" t="s">
        <v>763</v>
      </c>
      <c r="E11" s="1" t="s">
        <v>764</v>
      </c>
      <c r="F11" s="1" t="s">
        <v>776</v>
      </c>
    </row>
    <row r="12" ht="14.25" customHeight="1">
      <c r="A12" s="1">
        <v>12.0</v>
      </c>
      <c r="B12" s="1" t="s">
        <v>417</v>
      </c>
      <c r="C12" s="1" t="s">
        <v>14</v>
      </c>
      <c r="D12" s="1" t="s">
        <v>763</v>
      </c>
      <c r="E12" s="1" t="s">
        <v>764</v>
      </c>
      <c r="F12" s="1" t="s">
        <v>777</v>
      </c>
    </row>
    <row r="13" ht="14.25" customHeight="1">
      <c r="A13" s="1">
        <v>13.0</v>
      </c>
      <c r="B13" s="1" t="s">
        <v>415</v>
      </c>
      <c r="C13" s="1" t="s">
        <v>14</v>
      </c>
      <c r="D13" s="1" t="s">
        <v>763</v>
      </c>
      <c r="E13" s="1" t="s">
        <v>764</v>
      </c>
      <c r="F13" s="1" t="s">
        <v>778</v>
      </c>
    </row>
    <row r="14" ht="14.25" customHeight="1">
      <c r="A14" s="1">
        <v>14.0</v>
      </c>
      <c r="B14" s="1" t="s">
        <v>434</v>
      </c>
      <c r="C14" s="1" t="s">
        <v>160</v>
      </c>
      <c r="D14" s="1" t="s">
        <v>763</v>
      </c>
      <c r="E14" s="1" t="s">
        <v>764</v>
      </c>
      <c r="F14" s="1" t="s">
        <v>779</v>
      </c>
    </row>
    <row r="15" ht="14.25" customHeight="1">
      <c r="A15" s="1">
        <v>15.0</v>
      </c>
      <c r="B15" s="1" t="s">
        <v>780</v>
      </c>
      <c r="C15" s="1" t="s">
        <v>160</v>
      </c>
      <c r="D15" s="1" t="s">
        <v>763</v>
      </c>
      <c r="E15" s="1" t="s">
        <v>764</v>
      </c>
      <c r="F15" s="1" t="s">
        <v>781</v>
      </c>
    </row>
    <row r="16" ht="14.25" customHeight="1">
      <c r="A16" s="1">
        <v>16.0</v>
      </c>
      <c r="B16" s="1" t="s">
        <v>433</v>
      </c>
      <c r="C16" s="1" t="s">
        <v>160</v>
      </c>
      <c r="D16" s="1" t="s">
        <v>763</v>
      </c>
      <c r="E16" s="1" t="s">
        <v>764</v>
      </c>
      <c r="F16" s="1" t="s">
        <v>782</v>
      </c>
    </row>
    <row r="17" ht="14.25" customHeight="1">
      <c r="A17" s="1">
        <v>17.0</v>
      </c>
      <c r="B17" s="1" t="s">
        <v>438</v>
      </c>
      <c r="C17" s="1" t="s">
        <v>160</v>
      </c>
      <c r="D17" s="1" t="s">
        <v>763</v>
      </c>
      <c r="E17" s="1" t="s">
        <v>764</v>
      </c>
      <c r="F17" s="1" t="s">
        <v>783</v>
      </c>
    </row>
    <row r="18" ht="14.25" customHeight="1">
      <c r="A18" s="1">
        <v>18.0</v>
      </c>
      <c r="B18" s="1" t="s">
        <v>439</v>
      </c>
      <c r="C18" s="1" t="s">
        <v>160</v>
      </c>
      <c r="D18" s="1" t="s">
        <v>763</v>
      </c>
      <c r="E18" s="1" t="s">
        <v>764</v>
      </c>
      <c r="F18" s="1" t="s">
        <v>784</v>
      </c>
    </row>
    <row r="19" ht="14.25" customHeight="1">
      <c r="A19" s="1">
        <v>19.0</v>
      </c>
      <c r="B19" s="1" t="s">
        <v>785</v>
      </c>
      <c r="C19" s="1" t="s">
        <v>160</v>
      </c>
      <c r="D19" s="1" t="s">
        <v>763</v>
      </c>
      <c r="E19" s="1" t="s">
        <v>764</v>
      </c>
      <c r="F19" s="1" t="s">
        <v>786</v>
      </c>
    </row>
    <row r="20" ht="14.25" customHeight="1">
      <c r="A20" s="1">
        <v>20.0</v>
      </c>
      <c r="B20" s="1" t="s">
        <v>449</v>
      </c>
      <c r="C20" s="1" t="s">
        <v>160</v>
      </c>
      <c r="D20" s="1" t="s">
        <v>763</v>
      </c>
      <c r="E20" s="1" t="s">
        <v>764</v>
      </c>
      <c r="F20" s="1" t="s">
        <v>787</v>
      </c>
    </row>
    <row r="21" ht="14.25" customHeight="1">
      <c r="A21" s="1">
        <v>21.0</v>
      </c>
      <c r="B21" s="1" t="s">
        <v>452</v>
      </c>
      <c r="C21" s="1" t="s">
        <v>160</v>
      </c>
      <c r="D21" s="1" t="s">
        <v>763</v>
      </c>
      <c r="E21" s="1" t="s">
        <v>764</v>
      </c>
      <c r="F21" s="1" t="s">
        <v>788</v>
      </c>
    </row>
    <row r="22" ht="14.25" customHeight="1">
      <c r="A22" s="1">
        <v>22.0</v>
      </c>
      <c r="B22" s="1" t="s">
        <v>789</v>
      </c>
      <c r="C22" s="1" t="s">
        <v>160</v>
      </c>
      <c r="D22" s="1" t="s">
        <v>763</v>
      </c>
      <c r="E22" s="1" t="s">
        <v>764</v>
      </c>
      <c r="F22" s="1" t="s">
        <v>790</v>
      </c>
    </row>
    <row r="23" ht="14.25" customHeight="1">
      <c r="A23" s="1">
        <v>23.0</v>
      </c>
      <c r="B23" s="1" t="s">
        <v>450</v>
      </c>
      <c r="C23" s="1" t="s">
        <v>160</v>
      </c>
      <c r="D23" s="1" t="s">
        <v>763</v>
      </c>
      <c r="E23" s="1" t="s">
        <v>764</v>
      </c>
      <c r="F23" s="1" t="s">
        <v>791</v>
      </c>
    </row>
    <row r="24" ht="14.25" customHeight="1">
      <c r="A24" s="1">
        <v>24.0</v>
      </c>
      <c r="B24" s="1" t="s">
        <v>432</v>
      </c>
      <c r="C24" s="1" t="s">
        <v>160</v>
      </c>
      <c r="D24" s="1" t="s">
        <v>763</v>
      </c>
      <c r="E24" s="1" t="s">
        <v>764</v>
      </c>
      <c r="F24" s="1" t="s">
        <v>792</v>
      </c>
    </row>
    <row r="25" ht="14.25" customHeight="1">
      <c r="A25" s="1">
        <v>25.0</v>
      </c>
      <c r="B25" s="1" t="s">
        <v>431</v>
      </c>
      <c r="C25" s="1" t="s">
        <v>213</v>
      </c>
      <c r="D25" s="1" t="s">
        <v>763</v>
      </c>
      <c r="E25" s="1" t="s">
        <v>764</v>
      </c>
      <c r="F25" s="1" t="s">
        <v>793</v>
      </c>
    </row>
    <row r="26" ht="14.25" customHeight="1">
      <c r="A26" s="1">
        <v>26.0</v>
      </c>
      <c r="B26" s="1" t="s">
        <v>794</v>
      </c>
      <c r="C26" s="1" t="s">
        <v>213</v>
      </c>
      <c r="D26" s="1" t="s">
        <v>763</v>
      </c>
      <c r="E26" s="1" t="s">
        <v>764</v>
      </c>
      <c r="F26" s="1" t="s">
        <v>795</v>
      </c>
    </row>
    <row r="27" ht="14.25" customHeight="1">
      <c r="A27" s="1">
        <v>27.0</v>
      </c>
      <c r="B27" s="1" t="s">
        <v>412</v>
      </c>
      <c r="C27" s="1" t="s">
        <v>213</v>
      </c>
      <c r="D27" s="1" t="s">
        <v>763</v>
      </c>
      <c r="E27" s="1" t="s">
        <v>764</v>
      </c>
      <c r="F27" s="1" t="s">
        <v>796</v>
      </c>
    </row>
    <row r="28" ht="14.25" customHeight="1">
      <c r="A28" s="1">
        <v>28.0</v>
      </c>
      <c r="B28" s="1" t="s">
        <v>455</v>
      </c>
      <c r="C28" s="1" t="s">
        <v>213</v>
      </c>
      <c r="D28" s="1" t="s">
        <v>763</v>
      </c>
      <c r="E28" s="1" t="s">
        <v>764</v>
      </c>
      <c r="F28" s="1" t="s">
        <v>797</v>
      </c>
    </row>
    <row r="29" ht="14.25" customHeight="1">
      <c r="A29" s="1">
        <v>29.0</v>
      </c>
      <c r="B29" s="1" t="s">
        <v>458</v>
      </c>
      <c r="C29" s="1" t="s">
        <v>213</v>
      </c>
      <c r="D29" s="1" t="s">
        <v>763</v>
      </c>
      <c r="E29" s="1" t="s">
        <v>764</v>
      </c>
      <c r="F29" s="1" t="s">
        <v>798</v>
      </c>
    </row>
    <row r="30" ht="14.25" customHeight="1">
      <c r="A30" s="1">
        <v>30.0</v>
      </c>
      <c r="B30" s="1" t="s">
        <v>453</v>
      </c>
      <c r="C30" s="1" t="s">
        <v>213</v>
      </c>
      <c r="D30" s="1" t="s">
        <v>763</v>
      </c>
      <c r="E30" s="1" t="s">
        <v>764</v>
      </c>
      <c r="F30" s="1" t="s">
        <v>799</v>
      </c>
    </row>
    <row r="31" ht="14.25" customHeight="1">
      <c r="A31" s="1">
        <v>31.0</v>
      </c>
      <c r="B31" s="1" t="s">
        <v>459</v>
      </c>
      <c r="C31" s="1" t="s">
        <v>213</v>
      </c>
      <c r="D31" s="1" t="s">
        <v>763</v>
      </c>
      <c r="E31" s="1" t="s">
        <v>764</v>
      </c>
      <c r="F31" s="1" t="s">
        <v>800</v>
      </c>
    </row>
    <row r="32" ht="14.25" customHeight="1">
      <c r="A32" s="1">
        <v>32.0</v>
      </c>
      <c r="B32" s="1" t="s">
        <v>461</v>
      </c>
      <c r="C32" s="1" t="s">
        <v>213</v>
      </c>
      <c r="D32" s="1" t="s">
        <v>763</v>
      </c>
      <c r="E32" s="1" t="s">
        <v>764</v>
      </c>
      <c r="F32" s="1" t="s">
        <v>801</v>
      </c>
    </row>
    <row r="33" ht="14.25" customHeight="1">
      <c r="A33" s="1">
        <v>33.0</v>
      </c>
      <c r="B33" s="1" t="s">
        <v>448</v>
      </c>
      <c r="C33" s="1" t="s">
        <v>256</v>
      </c>
      <c r="D33" s="1" t="s">
        <v>763</v>
      </c>
      <c r="E33" s="1" t="s">
        <v>764</v>
      </c>
      <c r="F33" s="1" t="s">
        <v>802</v>
      </c>
    </row>
    <row r="34" ht="14.25" customHeight="1">
      <c r="A34" s="1">
        <v>34.0</v>
      </c>
      <c r="B34" s="1" t="s">
        <v>803</v>
      </c>
      <c r="C34" s="1" t="s">
        <v>256</v>
      </c>
      <c r="D34" s="1" t="s">
        <v>763</v>
      </c>
      <c r="E34" s="1" t="s">
        <v>764</v>
      </c>
      <c r="F34" s="1" t="s">
        <v>804</v>
      </c>
    </row>
    <row r="35" ht="14.25" customHeight="1">
      <c r="A35" s="1">
        <v>35.0</v>
      </c>
      <c r="B35" s="1" t="s">
        <v>460</v>
      </c>
      <c r="C35" s="1" t="s">
        <v>256</v>
      </c>
      <c r="D35" s="1" t="s">
        <v>763</v>
      </c>
      <c r="E35" s="1" t="s">
        <v>764</v>
      </c>
      <c r="F35" s="1" t="s">
        <v>805</v>
      </c>
    </row>
    <row r="36" ht="14.25" customHeight="1">
      <c r="A36" s="1">
        <v>36.0</v>
      </c>
      <c r="B36" s="1" t="s">
        <v>473</v>
      </c>
      <c r="C36" s="1" t="s">
        <v>256</v>
      </c>
      <c r="D36" s="1" t="s">
        <v>763</v>
      </c>
      <c r="E36" s="1" t="s">
        <v>764</v>
      </c>
      <c r="F36" s="1" t="s">
        <v>806</v>
      </c>
    </row>
    <row r="37" ht="14.25" customHeight="1">
      <c r="A37" s="1">
        <v>37.0</v>
      </c>
      <c r="B37" s="1" t="s">
        <v>413</v>
      </c>
      <c r="C37" s="1" t="s">
        <v>256</v>
      </c>
      <c r="D37" s="1" t="s">
        <v>763</v>
      </c>
      <c r="E37" s="1" t="s">
        <v>764</v>
      </c>
      <c r="F37" s="1" t="s">
        <v>807</v>
      </c>
    </row>
    <row r="38" ht="14.25" customHeight="1">
      <c r="A38" s="1">
        <v>38.0</v>
      </c>
      <c r="B38" s="1" t="s">
        <v>437</v>
      </c>
      <c r="C38" s="1" t="s">
        <v>81</v>
      </c>
      <c r="D38" s="1" t="s">
        <v>763</v>
      </c>
      <c r="E38" s="1" t="s">
        <v>764</v>
      </c>
      <c r="F38" s="1" t="s">
        <v>808</v>
      </c>
    </row>
    <row r="39" ht="14.25" customHeight="1">
      <c r="A39" s="1">
        <v>39.0</v>
      </c>
      <c r="B39" s="1" t="s">
        <v>409</v>
      </c>
      <c r="C39" s="1" t="s">
        <v>81</v>
      </c>
      <c r="D39" s="1" t="s">
        <v>763</v>
      </c>
      <c r="E39" s="1" t="s">
        <v>764</v>
      </c>
      <c r="F39" s="1" t="s">
        <v>809</v>
      </c>
    </row>
    <row r="40" ht="14.25" customHeight="1">
      <c r="A40" s="1">
        <v>40.0</v>
      </c>
      <c r="B40" s="1" t="s">
        <v>454</v>
      </c>
      <c r="C40" s="1" t="s">
        <v>81</v>
      </c>
      <c r="D40" s="1" t="s">
        <v>763</v>
      </c>
      <c r="E40" s="1" t="s">
        <v>764</v>
      </c>
      <c r="F40" s="1" t="s">
        <v>810</v>
      </c>
    </row>
    <row r="41" ht="14.25" customHeight="1">
      <c r="A41" s="1">
        <v>41.0</v>
      </c>
      <c r="B41" s="1" t="s">
        <v>472</v>
      </c>
      <c r="C41" s="1" t="s">
        <v>81</v>
      </c>
      <c r="D41" s="1" t="s">
        <v>763</v>
      </c>
      <c r="E41" s="1" t="s">
        <v>764</v>
      </c>
      <c r="F41" s="1" t="s">
        <v>811</v>
      </c>
    </row>
    <row r="42" ht="14.25" customHeight="1">
      <c r="A42" s="1">
        <v>42.0</v>
      </c>
      <c r="B42" s="1" t="s">
        <v>456</v>
      </c>
      <c r="C42" s="1" t="s">
        <v>81</v>
      </c>
      <c r="D42" s="1" t="s">
        <v>763</v>
      </c>
      <c r="E42" s="1" t="s">
        <v>764</v>
      </c>
      <c r="F42" s="1" t="s">
        <v>812</v>
      </c>
    </row>
    <row r="43" ht="14.25" customHeight="1">
      <c r="A43" s="1">
        <v>43.0</v>
      </c>
      <c r="B43" s="1" t="s">
        <v>476</v>
      </c>
      <c r="C43" s="1" t="s">
        <v>81</v>
      </c>
      <c r="D43" s="1" t="s">
        <v>763</v>
      </c>
      <c r="E43" s="1" t="s">
        <v>764</v>
      </c>
      <c r="F43" s="1" t="s">
        <v>813</v>
      </c>
    </row>
    <row r="44" ht="14.25" customHeight="1">
      <c r="A44" s="1">
        <v>44.0</v>
      </c>
      <c r="B44" s="1" t="s">
        <v>402</v>
      </c>
      <c r="C44" s="1" t="s">
        <v>42</v>
      </c>
      <c r="D44" s="1" t="s">
        <v>814</v>
      </c>
      <c r="E44" s="1" t="s">
        <v>764</v>
      </c>
      <c r="F44" s="1" t="s">
        <v>815</v>
      </c>
    </row>
    <row r="45" ht="14.25" customHeight="1">
      <c r="A45" s="1">
        <v>45.0</v>
      </c>
      <c r="B45" s="1" t="s">
        <v>816</v>
      </c>
      <c r="C45" s="1" t="s">
        <v>42</v>
      </c>
      <c r="D45" s="1" t="s">
        <v>814</v>
      </c>
      <c r="E45" s="1" t="s">
        <v>764</v>
      </c>
      <c r="F45" s="1" t="s">
        <v>817</v>
      </c>
    </row>
    <row r="46" ht="14.25" customHeight="1">
      <c r="A46" s="1">
        <v>46.0</v>
      </c>
      <c r="B46" s="1" t="s">
        <v>818</v>
      </c>
      <c r="C46" s="1" t="s">
        <v>14</v>
      </c>
      <c r="D46" s="1" t="s">
        <v>814</v>
      </c>
      <c r="E46" s="1" t="s">
        <v>764</v>
      </c>
      <c r="F46" s="1" t="s">
        <v>819</v>
      </c>
    </row>
    <row r="47" ht="14.25" customHeight="1">
      <c r="A47" s="1">
        <v>47.0</v>
      </c>
      <c r="B47" s="1" t="s">
        <v>820</v>
      </c>
      <c r="C47" s="1" t="s">
        <v>14</v>
      </c>
      <c r="D47" s="1" t="s">
        <v>814</v>
      </c>
      <c r="E47" s="1" t="s">
        <v>764</v>
      </c>
      <c r="F47" s="1" t="s">
        <v>821</v>
      </c>
    </row>
    <row r="48" ht="14.25" customHeight="1">
      <c r="A48" s="1">
        <v>48.0</v>
      </c>
      <c r="B48" s="1" t="s">
        <v>443</v>
      </c>
      <c r="C48" s="1" t="s">
        <v>160</v>
      </c>
      <c r="D48" s="1" t="s">
        <v>814</v>
      </c>
      <c r="E48" s="1" t="s">
        <v>764</v>
      </c>
      <c r="F48" s="1" t="s">
        <v>822</v>
      </c>
    </row>
    <row r="49" ht="14.25" customHeight="1">
      <c r="A49" s="1">
        <v>49.0</v>
      </c>
      <c r="B49" s="1" t="s">
        <v>446</v>
      </c>
      <c r="C49" s="1" t="s">
        <v>213</v>
      </c>
      <c r="D49" s="1" t="s">
        <v>814</v>
      </c>
      <c r="E49" s="1" t="s">
        <v>764</v>
      </c>
      <c r="F49" s="1" t="s">
        <v>823</v>
      </c>
    </row>
    <row r="50" ht="14.25" customHeight="1">
      <c r="A50" s="1">
        <v>50.0</v>
      </c>
      <c r="B50" s="1" t="s">
        <v>824</v>
      </c>
      <c r="C50" s="1" t="s">
        <v>213</v>
      </c>
      <c r="D50" s="1" t="s">
        <v>814</v>
      </c>
      <c r="E50" s="1" t="s">
        <v>764</v>
      </c>
      <c r="F50" s="1" t="s">
        <v>825</v>
      </c>
    </row>
    <row r="51" ht="14.25" customHeight="1">
      <c r="A51" s="1">
        <v>51.0</v>
      </c>
      <c r="B51" s="1" t="s">
        <v>826</v>
      </c>
      <c r="C51" s="1" t="s">
        <v>256</v>
      </c>
      <c r="D51" s="1" t="s">
        <v>814</v>
      </c>
      <c r="E51" s="1" t="s">
        <v>764</v>
      </c>
      <c r="F51" s="1" t="s">
        <v>827</v>
      </c>
    </row>
    <row r="52" ht="14.25" customHeight="1">
      <c r="A52" s="1">
        <v>52.0</v>
      </c>
      <c r="B52" s="1" t="s">
        <v>828</v>
      </c>
      <c r="C52" s="1" t="s">
        <v>256</v>
      </c>
      <c r="D52" s="1" t="s">
        <v>814</v>
      </c>
      <c r="E52" s="1" t="s">
        <v>764</v>
      </c>
      <c r="F52" s="1" t="s">
        <v>829</v>
      </c>
    </row>
    <row r="53" ht="14.25" customHeight="1">
      <c r="A53" s="1">
        <v>53.0</v>
      </c>
      <c r="B53" s="1" t="s">
        <v>523</v>
      </c>
      <c r="C53" s="1" t="s">
        <v>256</v>
      </c>
      <c r="D53" s="1" t="s">
        <v>814</v>
      </c>
      <c r="E53" s="1" t="s">
        <v>764</v>
      </c>
      <c r="F53" s="1" t="s">
        <v>830</v>
      </c>
    </row>
    <row r="54" ht="14.25" customHeight="1">
      <c r="A54" s="1">
        <v>54.0</v>
      </c>
      <c r="B54" s="1" t="s">
        <v>470</v>
      </c>
      <c r="C54" s="1" t="s">
        <v>81</v>
      </c>
      <c r="D54" s="1" t="s">
        <v>814</v>
      </c>
      <c r="E54" s="1" t="s">
        <v>764</v>
      </c>
      <c r="F54" s="1" t="s">
        <v>831</v>
      </c>
    </row>
    <row r="55" ht="14.25" customHeight="1">
      <c r="A55" s="1">
        <v>55.0</v>
      </c>
      <c r="B55" s="1" t="s">
        <v>406</v>
      </c>
      <c r="C55" s="1" t="s">
        <v>81</v>
      </c>
      <c r="D55" s="1" t="s">
        <v>814</v>
      </c>
      <c r="E55" s="1" t="s">
        <v>764</v>
      </c>
      <c r="F55" s="1" t="s">
        <v>832</v>
      </c>
    </row>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c r="D138" s="1" t="s">
        <v>0</v>
      </c>
    </row>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5.0"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c r="L327" s="1" t="s">
        <v>0</v>
      </c>
      <c r="M327" s="1" t="s">
        <v>0</v>
      </c>
    </row>
    <row r="328" ht="14.25" customHeight="1">
      <c r="L328" s="1" t="s">
        <v>0</v>
      </c>
    </row>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833</v>
      </c>
      <c r="B1" s="1" t="s">
        <v>42</v>
      </c>
      <c r="C1" s="1" t="s">
        <v>763</v>
      </c>
      <c r="D1" s="1" t="s">
        <v>410</v>
      </c>
      <c r="E1" s="1" t="s">
        <v>834</v>
      </c>
    </row>
    <row r="2" ht="14.25" customHeight="1">
      <c r="A2" s="1" t="s">
        <v>835</v>
      </c>
      <c r="B2" s="1" t="s">
        <v>42</v>
      </c>
      <c r="C2" s="1" t="s">
        <v>763</v>
      </c>
      <c r="D2" s="1" t="s">
        <v>410</v>
      </c>
      <c r="E2" s="1" t="s">
        <v>836</v>
      </c>
    </row>
    <row r="3" ht="14.25" customHeight="1">
      <c r="A3" s="1" t="s">
        <v>837</v>
      </c>
      <c r="B3" s="1" t="s">
        <v>42</v>
      </c>
      <c r="C3" s="1" t="s">
        <v>763</v>
      </c>
      <c r="D3" s="1" t="s">
        <v>410</v>
      </c>
      <c r="E3" s="1" t="s">
        <v>838</v>
      </c>
    </row>
    <row r="4" ht="14.25" customHeight="1">
      <c r="A4" s="1" t="s">
        <v>839</v>
      </c>
      <c r="B4" s="1" t="s">
        <v>42</v>
      </c>
      <c r="C4" s="1" t="s">
        <v>763</v>
      </c>
      <c r="D4" s="1" t="s">
        <v>407</v>
      </c>
      <c r="E4" s="1" t="s">
        <v>840</v>
      </c>
    </row>
    <row r="5" ht="14.25" customHeight="1">
      <c r="A5" s="1" t="s">
        <v>841</v>
      </c>
      <c r="B5" s="1" t="s">
        <v>42</v>
      </c>
      <c r="C5" s="1" t="s">
        <v>763</v>
      </c>
      <c r="D5" s="1" t="s">
        <v>407</v>
      </c>
      <c r="E5" s="1" t="s">
        <v>842</v>
      </c>
    </row>
    <row r="6" ht="14.25" customHeight="1">
      <c r="A6" s="1" t="s">
        <v>843</v>
      </c>
      <c r="B6" s="1" t="s">
        <v>42</v>
      </c>
      <c r="C6" s="1" t="s">
        <v>763</v>
      </c>
      <c r="D6" s="1" t="s">
        <v>407</v>
      </c>
      <c r="E6" s="1" t="s">
        <v>844</v>
      </c>
    </row>
    <row r="7" ht="14.25" customHeight="1">
      <c r="A7" s="1" t="s">
        <v>845</v>
      </c>
      <c r="B7" s="1" t="s">
        <v>42</v>
      </c>
      <c r="C7" s="1" t="s">
        <v>763</v>
      </c>
      <c r="D7" s="1" t="s">
        <v>408</v>
      </c>
      <c r="E7" s="1" t="s">
        <v>846</v>
      </c>
    </row>
    <row r="8" ht="14.25" customHeight="1">
      <c r="A8" s="1" t="s">
        <v>847</v>
      </c>
      <c r="B8" s="1" t="s">
        <v>42</v>
      </c>
      <c r="C8" s="1" t="s">
        <v>763</v>
      </c>
      <c r="D8" s="1" t="s">
        <v>408</v>
      </c>
      <c r="E8" s="1" t="s">
        <v>848</v>
      </c>
    </row>
    <row r="9" ht="14.25" customHeight="1">
      <c r="A9" s="1" t="s">
        <v>849</v>
      </c>
      <c r="B9" s="1" t="s">
        <v>42</v>
      </c>
      <c r="C9" s="1" t="s">
        <v>763</v>
      </c>
      <c r="D9" s="1" t="s">
        <v>408</v>
      </c>
      <c r="E9" s="1" t="s">
        <v>850</v>
      </c>
    </row>
    <row r="10" ht="14.25" customHeight="1">
      <c r="A10" s="1" t="s">
        <v>851</v>
      </c>
      <c r="B10" s="1" t="s">
        <v>14</v>
      </c>
      <c r="C10" s="1" t="s">
        <v>763</v>
      </c>
      <c r="D10" s="1" t="s">
        <v>418</v>
      </c>
      <c r="E10" s="1" t="s">
        <v>852</v>
      </c>
    </row>
    <row r="11" ht="14.25" customHeight="1">
      <c r="A11" s="1" t="s">
        <v>853</v>
      </c>
      <c r="B11" s="1" t="s">
        <v>14</v>
      </c>
      <c r="C11" s="1" t="s">
        <v>763</v>
      </c>
      <c r="D11" s="1" t="s">
        <v>418</v>
      </c>
      <c r="E11" s="1" t="s">
        <v>854</v>
      </c>
    </row>
    <row r="12" ht="14.25" customHeight="1">
      <c r="A12" s="1" t="s">
        <v>855</v>
      </c>
      <c r="B12" s="1" t="s">
        <v>14</v>
      </c>
      <c r="C12" s="1" t="s">
        <v>763</v>
      </c>
      <c r="D12" s="1" t="s">
        <v>418</v>
      </c>
      <c r="E12" s="1" t="s">
        <v>856</v>
      </c>
    </row>
    <row r="13" ht="14.25" customHeight="1">
      <c r="A13" s="1" t="s">
        <v>857</v>
      </c>
      <c r="B13" s="1" t="s">
        <v>14</v>
      </c>
      <c r="C13" s="1" t="s">
        <v>763</v>
      </c>
      <c r="D13" s="1" t="s">
        <v>418</v>
      </c>
      <c r="E13" s="1" t="s">
        <v>858</v>
      </c>
    </row>
    <row r="14" ht="14.25" customHeight="1">
      <c r="A14" s="1" t="s">
        <v>859</v>
      </c>
      <c r="B14" s="1" t="s">
        <v>14</v>
      </c>
      <c r="C14" s="1" t="s">
        <v>763</v>
      </c>
      <c r="D14" s="1" t="s">
        <v>416</v>
      </c>
      <c r="E14" s="1" t="s">
        <v>860</v>
      </c>
    </row>
    <row r="15" ht="14.25" customHeight="1">
      <c r="A15" s="1" t="s">
        <v>861</v>
      </c>
      <c r="B15" s="1" t="s">
        <v>14</v>
      </c>
      <c r="C15" s="1" t="s">
        <v>763</v>
      </c>
      <c r="D15" s="1" t="s">
        <v>416</v>
      </c>
      <c r="E15" s="1" t="s">
        <v>862</v>
      </c>
    </row>
    <row r="16" ht="14.25" customHeight="1">
      <c r="A16" s="1" t="s">
        <v>863</v>
      </c>
      <c r="B16" s="1" t="s">
        <v>14</v>
      </c>
      <c r="C16" s="1" t="s">
        <v>763</v>
      </c>
      <c r="D16" s="1" t="s">
        <v>416</v>
      </c>
      <c r="E16" s="1" t="s">
        <v>864</v>
      </c>
    </row>
    <row r="17" ht="14.25" customHeight="1">
      <c r="A17" s="1" t="s">
        <v>865</v>
      </c>
      <c r="B17" s="1" t="s">
        <v>14</v>
      </c>
      <c r="C17" s="1" t="s">
        <v>763</v>
      </c>
      <c r="D17" s="1" t="s">
        <v>419</v>
      </c>
      <c r="E17" s="1" t="s">
        <v>866</v>
      </c>
    </row>
    <row r="18" ht="14.25" customHeight="1">
      <c r="A18" s="1" t="s">
        <v>867</v>
      </c>
      <c r="B18" s="1" t="s">
        <v>14</v>
      </c>
      <c r="C18" s="1" t="s">
        <v>763</v>
      </c>
      <c r="D18" s="1" t="s">
        <v>419</v>
      </c>
      <c r="E18" s="1" t="s">
        <v>868</v>
      </c>
    </row>
    <row r="19" ht="14.25" customHeight="1">
      <c r="A19" s="1" t="s">
        <v>869</v>
      </c>
      <c r="B19" s="1" t="s">
        <v>14</v>
      </c>
      <c r="C19" s="1" t="s">
        <v>763</v>
      </c>
      <c r="D19" s="1" t="s">
        <v>419</v>
      </c>
      <c r="E19" s="1" t="s">
        <v>870</v>
      </c>
    </row>
    <row r="20" ht="14.25" customHeight="1">
      <c r="A20" s="1" t="s">
        <v>871</v>
      </c>
      <c r="B20" s="1" t="s">
        <v>14</v>
      </c>
      <c r="C20" s="1" t="s">
        <v>763</v>
      </c>
      <c r="D20" s="1" t="s">
        <v>426</v>
      </c>
      <c r="E20" s="1" t="s">
        <v>872</v>
      </c>
    </row>
    <row r="21" ht="14.25" customHeight="1">
      <c r="A21" s="1" t="s">
        <v>873</v>
      </c>
      <c r="B21" s="1" t="s">
        <v>14</v>
      </c>
      <c r="C21" s="1" t="s">
        <v>763</v>
      </c>
      <c r="D21" s="1" t="s">
        <v>426</v>
      </c>
      <c r="E21" s="1" t="s">
        <v>874</v>
      </c>
    </row>
    <row r="22" ht="14.25" customHeight="1">
      <c r="A22" s="1" t="s">
        <v>875</v>
      </c>
      <c r="B22" s="1" t="s">
        <v>14</v>
      </c>
      <c r="C22" s="1" t="s">
        <v>763</v>
      </c>
      <c r="D22" s="1" t="s">
        <v>426</v>
      </c>
      <c r="E22" s="1" t="s">
        <v>876</v>
      </c>
    </row>
    <row r="23" ht="14.25" customHeight="1">
      <c r="A23" s="1" t="s">
        <v>877</v>
      </c>
      <c r="B23" s="1" t="s">
        <v>14</v>
      </c>
      <c r="C23" s="1" t="s">
        <v>763</v>
      </c>
      <c r="D23" s="1" t="s">
        <v>414</v>
      </c>
      <c r="E23" s="1" t="s">
        <v>878</v>
      </c>
    </row>
    <row r="24" ht="14.25" customHeight="1">
      <c r="A24" s="1" t="s">
        <v>879</v>
      </c>
      <c r="B24" s="1" t="s">
        <v>14</v>
      </c>
      <c r="C24" s="1" t="s">
        <v>763</v>
      </c>
      <c r="D24" s="1" t="s">
        <v>414</v>
      </c>
      <c r="E24" s="1" t="s">
        <v>880</v>
      </c>
    </row>
    <row r="25" ht="14.25" customHeight="1">
      <c r="A25" s="1" t="s">
        <v>881</v>
      </c>
      <c r="B25" s="1" t="s">
        <v>14</v>
      </c>
      <c r="C25" s="1" t="s">
        <v>763</v>
      </c>
      <c r="D25" s="1" t="s">
        <v>414</v>
      </c>
      <c r="E25" s="1" t="s">
        <v>882</v>
      </c>
    </row>
    <row r="26" ht="14.25" customHeight="1">
      <c r="A26" s="1" t="s">
        <v>883</v>
      </c>
      <c r="B26" s="1" t="s">
        <v>160</v>
      </c>
      <c r="C26" s="1" t="s">
        <v>763</v>
      </c>
      <c r="D26" s="1" t="s">
        <v>434</v>
      </c>
      <c r="E26" s="1" t="s">
        <v>884</v>
      </c>
    </row>
    <row r="27" ht="14.25" customHeight="1">
      <c r="A27" s="1" t="s">
        <v>885</v>
      </c>
      <c r="B27" s="1" t="s">
        <v>160</v>
      </c>
      <c r="C27" s="1" t="s">
        <v>763</v>
      </c>
      <c r="D27" s="1" t="s">
        <v>434</v>
      </c>
      <c r="E27" s="1" t="s">
        <v>886</v>
      </c>
    </row>
    <row r="28" ht="14.25" customHeight="1">
      <c r="A28" s="1" t="s">
        <v>887</v>
      </c>
      <c r="B28" s="1" t="s">
        <v>160</v>
      </c>
      <c r="C28" s="1" t="s">
        <v>763</v>
      </c>
      <c r="D28" s="1" t="s">
        <v>434</v>
      </c>
      <c r="E28" s="1" t="s">
        <v>888</v>
      </c>
    </row>
    <row r="29" ht="14.25" customHeight="1">
      <c r="A29" s="1" t="s">
        <v>889</v>
      </c>
      <c r="B29" s="1" t="s">
        <v>160</v>
      </c>
      <c r="C29" s="1" t="s">
        <v>763</v>
      </c>
      <c r="D29" s="1" t="s">
        <v>438</v>
      </c>
      <c r="E29" s="1" t="s">
        <v>890</v>
      </c>
    </row>
    <row r="30" ht="14.25" customHeight="1">
      <c r="A30" s="1" t="s">
        <v>891</v>
      </c>
      <c r="B30" s="1" t="s">
        <v>160</v>
      </c>
      <c r="C30" s="1" t="s">
        <v>763</v>
      </c>
      <c r="D30" s="1" t="s">
        <v>438</v>
      </c>
      <c r="E30" s="1" t="s">
        <v>892</v>
      </c>
    </row>
    <row r="31" ht="14.25" customHeight="1">
      <c r="A31" s="1" t="s">
        <v>893</v>
      </c>
      <c r="B31" s="1" t="s">
        <v>160</v>
      </c>
      <c r="C31" s="1" t="s">
        <v>763</v>
      </c>
      <c r="D31" s="1" t="s">
        <v>439</v>
      </c>
      <c r="E31" s="1" t="s">
        <v>894</v>
      </c>
    </row>
    <row r="32" ht="14.25" customHeight="1">
      <c r="A32" s="1" t="s">
        <v>895</v>
      </c>
      <c r="B32" s="1" t="s">
        <v>160</v>
      </c>
      <c r="C32" s="1" t="s">
        <v>763</v>
      </c>
      <c r="D32" s="1" t="s">
        <v>439</v>
      </c>
      <c r="E32" s="1" t="s">
        <v>896</v>
      </c>
    </row>
    <row r="33" ht="14.25" customHeight="1">
      <c r="A33" s="1" t="s">
        <v>897</v>
      </c>
      <c r="B33" s="1" t="s">
        <v>160</v>
      </c>
      <c r="C33" s="1" t="s">
        <v>763</v>
      </c>
      <c r="D33" s="1" t="s">
        <v>439</v>
      </c>
      <c r="E33" s="1" t="s">
        <v>898</v>
      </c>
    </row>
    <row r="34" ht="14.25" customHeight="1">
      <c r="A34" s="1" t="s">
        <v>899</v>
      </c>
      <c r="B34" s="1" t="s">
        <v>160</v>
      </c>
      <c r="C34" s="1" t="s">
        <v>763</v>
      </c>
      <c r="D34" s="1" t="s">
        <v>785</v>
      </c>
      <c r="E34" s="1" t="s">
        <v>900</v>
      </c>
    </row>
    <row r="35" ht="14.25" customHeight="1">
      <c r="A35" s="1" t="s">
        <v>901</v>
      </c>
      <c r="B35" s="1" t="s">
        <v>160</v>
      </c>
      <c r="C35" s="1" t="s">
        <v>763</v>
      </c>
      <c r="D35" s="1" t="s">
        <v>785</v>
      </c>
      <c r="E35" s="1" t="s">
        <v>902</v>
      </c>
    </row>
    <row r="36" ht="14.25" customHeight="1">
      <c r="A36" s="1" t="s">
        <v>903</v>
      </c>
      <c r="B36" s="1" t="s">
        <v>160</v>
      </c>
      <c r="C36" s="1" t="s">
        <v>763</v>
      </c>
      <c r="D36" s="1" t="s">
        <v>785</v>
      </c>
      <c r="E36" s="1" t="s">
        <v>904</v>
      </c>
    </row>
    <row r="37" ht="14.25" customHeight="1">
      <c r="A37" s="1" t="s">
        <v>905</v>
      </c>
      <c r="B37" s="1" t="s">
        <v>160</v>
      </c>
      <c r="C37" s="1" t="s">
        <v>763</v>
      </c>
      <c r="D37" s="1" t="s">
        <v>785</v>
      </c>
      <c r="E37" s="1" t="s">
        <v>906</v>
      </c>
    </row>
    <row r="38" ht="14.25" customHeight="1">
      <c r="A38" s="1" t="s">
        <v>907</v>
      </c>
      <c r="B38" s="1" t="s">
        <v>160</v>
      </c>
      <c r="C38" s="1" t="s">
        <v>763</v>
      </c>
      <c r="D38" s="1" t="s">
        <v>449</v>
      </c>
      <c r="E38" s="1" t="s">
        <v>908</v>
      </c>
    </row>
    <row r="39" ht="14.25" customHeight="1">
      <c r="A39" s="1" t="s">
        <v>909</v>
      </c>
      <c r="B39" s="1" t="s">
        <v>160</v>
      </c>
      <c r="C39" s="1" t="s">
        <v>763</v>
      </c>
      <c r="D39" s="1" t="s">
        <v>449</v>
      </c>
      <c r="E39" s="1" t="s">
        <v>910</v>
      </c>
    </row>
    <row r="40" ht="14.25" customHeight="1">
      <c r="A40" s="1" t="s">
        <v>911</v>
      </c>
      <c r="B40" s="1" t="s">
        <v>160</v>
      </c>
      <c r="C40" s="1" t="s">
        <v>763</v>
      </c>
      <c r="D40" s="1" t="s">
        <v>449</v>
      </c>
      <c r="E40" s="1" t="s">
        <v>912</v>
      </c>
    </row>
    <row r="41" ht="14.25" customHeight="1">
      <c r="A41" s="1" t="s">
        <v>913</v>
      </c>
      <c r="B41" s="1" t="s">
        <v>160</v>
      </c>
      <c r="C41" s="1" t="s">
        <v>763</v>
      </c>
      <c r="D41" s="1" t="s">
        <v>452</v>
      </c>
      <c r="E41" s="1" t="s">
        <v>914</v>
      </c>
    </row>
    <row r="42" ht="14.25" customHeight="1">
      <c r="A42" s="1" t="s">
        <v>915</v>
      </c>
      <c r="B42" s="1" t="s">
        <v>160</v>
      </c>
      <c r="C42" s="1" t="s">
        <v>763</v>
      </c>
      <c r="D42" s="1" t="s">
        <v>452</v>
      </c>
      <c r="E42" s="1" t="s">
        <v>916</v>
      </c>
    </row>
    <row r="43" ht="14.25" customHeight="1">
      <c r="A43" s="1" t="s">
        <v>917</v>
      </c>
      <c r="B43" s="1" t="s">
        <v>160</v>
      </c>
      <c r="C43" s="1" t="s">
        <v>763</v>
      </c>
      <c r="D43" s="1" t="s">
        <v>452</v>
      </c>
      <c r="E43" s="1" t="s">
        <v>918</v>
      </c>
    </row>
    <row r="44" ht="14.25" customHeight="1">
      <c r="A44" s="1" t="s">
        <v>919</v>
      </c>
      <c r="B44" s="1" t="s">
        <v>160</v>
      </c>
      <c r="C44" s="1" t="s">
        <v>763</v>
      </c>
      <c r="D44" s="1" t="s">
        <v>789</v>
      </c>
      <c r="E44" s="1" t="s">
        <v>920</v>
      </c>
    </row>
    <row r="45" ht="14.25" customHeight="1">
      <c r="A45" s="1" t="s">
        <v>921</v>
      </c>
      <c r="B45" s="1" t="s">
        <v>160</v>
      </c>
      <c r="C45" s="1" t="s">
        <v>763</v>
      </c>
      <c r="D45" s="1" t="s">
        <v>789</v>
      </c>
      <c r="E45" s="1" t="s">
        <v>922</v>
      </c>
    </row>
    <row r="46" ht="14.25" customHeight="1">
      <c r="A46" s="1" t="s">
        <v>923</v>
      </c>
      <c r="B46" s="1" t="s">
        <v>160</v>
      </c>
      <c r="C46" s="1" t="s">
        <v>763</v>
      </c>
      <c r="D46" s="1" t="s">
        <v>789</v>
      </c>
      <c r="E46" s="1" t="s">
        <v>924</v>
      </c>
    </row>
    <row r="47" ht="14.25" customHeight="1">
      <c r="A47" s="1" t="s">
        <v>925</v>
      </c>
      <c r="B47" s="1" t="s">
        <v>160</v>
      </c>
      <c r="C47" s="1" t="s">
        <v>763</v>
      </c>
      <c r="D47" s="1" t="s">
        <v>432</v>
      </c>
      <c r="E47" s="1" t="s">
        <v>926</v>
      </c>
    </row>
    <row r="48" ht="14.25" customHeight="1">
      <c r="A48" s="1" t="s">
        <v>927</v>
      </c>
      <c r="B48" s="1" t="s">
        <v>160</v>
      </c>
      <c r="C48" s="1" t="s">
        <v>763</v>
      </c>
      <c r="D48" s="1" t="s">
        <v>432</v>
      </c>
      <c r="E48" s="1" t="s">
        <v>928</v>
      </c>
    </row>
    <row r="49" ht="14.25" customHeight="1">
      <c r="A49" s="1" t="s">
        <v>929</v>
      </c>
      <c r="B49" s="1" t="s">
        <v>160</v>
      </c>
      <c r="C49" s="1" t="s">
        <v>763</v>
      </c>
      <c r="D49" s="1" t="s">
        <v>432</v>
      </c>
      <c r="E49" s="1" t="s">
        <v>930</v>
      </c>
    </row>
    <row r="50" ht="14.25" customHeight="1">
      <c r="A50" s="1" t="s">
        <v>931</v>
      </c>
      <c r="B50" s="1" t="s">
        <v>213</v>
      </c>
      <c r="C50" s="1" t="s">
        <v>763</v>
      </c>
      <c r="D50" s="1" t="s">
        <v>431</v>
      </c>
      <c r="E50" s="1" t="s">
        <v>932</v>
      </c>
    </row>
    <row r="51" ht="14.25" customHeight="1">
      <c r="A51" s="1" t="s">
        <v>933</v>
      </c>
      <c r="B51" s="1" t="s">
        <v>213</v>
      </c>
      <c r="C51" s="1" t="s">
        <v>763</v>
      </c>
      <c r="D51" s="1" t="s">
        <v>431</v>
      </c>
      <c r="E51" s="1" t="s">
        <v>934</v>
      </c>
    </row>
    <row r="52" ht="14.25" customHeight="1">
      <c r="A52" s="1" t="s">
        <v>935</v>
      </c>
      <c r="B52" s="1" t="s">
        <v>213</v>
      </c>
      <c r="C52" s="1" t="s">
        <v>763</v>
      </c>
      <c r="D52" s="1" t="s">
        <v>431</v>
      </c>
      <c r="E52" s="1" t="s">
        <v>936</v>
      </c>
    </row>
    <row r="53" ht="14.25" customHeight="1">
      <c r="A53" s="1" t="s">
        <v>937</v>
      </c>
      <c r="B53" s="1" t="s">
        <v>213</v>
      </c>
      <c r="C53" s="1" t="s">
        <v>763</v>
      </c>
      <c r="D53" s="1" t="s">
        <v>431</v>
      </c>
      <c r="E53" s="1" t="s">
        <v>938</v>
      </c>
    </row>
    <row r="54" ht="14.25" customHeight="1">
      <c r="A54" s="1" t="s">
        <v>939</v>
      </c>
      <c r="B54" s="1" t="s">
        <v>213</v>
      </c>
      <c r="C54" s="1" t="s">
        <v>763</v>
      </c>
      <c r="D54" s="1" t="s">
        <v>431</v>
      </c>
      <c r="E54" s="1" t="s">
        <v>940</v>
      </c>
    </row>
    <row r="55" ht="14.25" customHeight="1">
      <c r="A55" s="1" t="s">
        <v>941</v>
      </c>
      <c r="B55" s="1" t="s">
        <v>213</v>
      </c>
      <c r="C55" s="1" t="s">
        <v>763</v>
      </c>
      <c r="D55" s="1" t="s">
        <v>794</v>
      </c>
      <c r="E55" s="1" t="s">
        <v>942</v>
      </c>
    </row>
    <row r="56" ht="14.25" customHeight="1">
      <c r="A56" s="1" t="s">
        <v>943</v>
      </c>
      <c r="B56" s="1" t="s">
        <v>213</v>
      </c>
      <c r="C56" s="1" t="s">
        <v>763</v>
      </c>
      <c r="D56" s="1" t="s">
        <v>794</v>
      </c>
      <c r="E56" s="1" t="s">
        <v>944</v>
      </c>
    </row>
    <row r="57" ht="14.25" customHeight="1">
      <c r="A57" s="1" t="s">
        <v>945</v>
      </c>
      <c r="B57" s="1" t="s">
        <v>213</v>
      </c>
      <c r="C57" s="1" t="s">
        <v>763</v>
      </c>
      <c r="D57" s="1" t="s">
        <v>794</v>
      </c>
      <c r="E57" s="1" t="s">
        <v>946</v>
      </c>
    </row>
    <row r="58" ht="14.25" customHeight="1">
      <c r="A58" s="1" t="s">
        <v>947</v>
      </c>
      <c r="B58" s="1" t="s">
        <v>213</v>
      </c>
      <c r="C58" s="1" t="s">
        <v>763</v>
      </c>
      <c r="D58" s="1" t="s">
        <v>412</v>
      </c>
      <c r="E58" s="1" t="s">
        <v>948</v>
      </c>
    </row>
    <row r="59" ht="14.25" customHeight="1">
      <c r="A59" s="1" t="s">
        <v>949</v>
      </c>
      <c r="B59" s="1" t="s">
        <v>213</v>
      </c>
      <c r="C59" s="1" t="s">
        <v>763</v>
      </c>
      <c r="D59" s="1" t="s">
        <v>412</v>
      </c>
      <c r="E59" s="1" t="s">
        <v>950</v>
      </c>
    </row>
    <row r="60" ht="14.25" customHeight="1">
      <c r="A60" s="1" t="s">
        <v>951</v>
      </c>
      <c r="B60" s="1" t="s">
        <v>213</v>
      </c>
      <c r="C60" s="1" t="s">
        <v>763</v>
      </c>
      <c r="D60" s="1" t="s">
        <v>412</v>
      </c>
      <c r="E60" s="1" t="s">
        <v>952</v>
      </c>
    </row>
    <row r="61" ht="14.25" customHeight="1">
      <c r="A61" s="1" t="s">
        <v>953</v>
      </c>
      <c r="B61" s="1" t="s">
        <v>213</v>
      </c>
      <c r="C61" s="1" t="s">
        <v>763</v>
      </c>
      <c r="D61" s="1" t="s">
        <v>455</v>
      </c>
      <c r="E61" s="1" t="s">
        <v>954</v>
      </c>
    </row>
    <row r="62" ht="14.25" customHeight="1">
      <c r="A62" s="1" t="s">
        <v>955</v>
      </c>
      <c r="B62" s="1" t="s">
        <v>213</v>
      </c>
      <c r="C62" s="1" t="s">
        <v>763</v>
      </c>
      <c r="D62" s="1" t="s">
        <v>455</v>
      </c>
      <c r="E62" s="1" t="s">
        <v>956</v>
      </c>
    </row>
    <row r="63" ht="14.25" customHeight="1">
      <c r="A63" s="1" t="s">
        <v>957</v>
      </c>
      <c r="B63" s="1" t="s">
        <v>213</v>
      </c>
      <c r="C63" s="1" t="s">
        <v>763</v>
      </c>
      <c r="D63" s="1" t="s">
        <v>455</v>
      </c>
      <c r="E63" s="1" t="s">
        <v>958</v>
      </c>
    </row>
    <row r="64" ht="14.25" customHeight="1">
      <c r="A64" s="1" t="s">
        <v>959</v>
      </c>
      <c r="B64" s="1" t="s">
        <v>213</v>
      </c>
      <c r="C64" s="1" t="s">
        <v>763</v>
      </c>
      <c r="D64" s="1" t="s">
        <v>458</v>
      </c>
      <c r="E64" s="1" t="s">
        <v>960</v>
      </c>
    </row>
    <row r="65" ht="14.25" customHeight="1">
      <c r="A65" s="1" t="s">
        <v>961</v>
      </c>
      <c r="B65" s="1" t="s">
        <v>213</v>
      </c>
      <c r="C65" s="1" t="s">
        <v>763</v>
      </c>
      <c r="D65" s="1" t="s">
        <v>458</v>
      </c>
      <c r="E65" s="1" t="s">
        <v>962</v>
      </c>
    </row>
    <row r="66" ht="14.25" customHeight="1">
      <c r="A66" s="1" t="s">
        <v>963</v>
      </c>
      <c r="B66" s="1" t="s">
        <v>213</v>
      </c>
      <c r="C66" s="1" t="s">
        <v>763</v>
      </c>
      <c r="D66" s="1" t="s">
        <v>458</v>
      </c>
      <c r="E66" s="1" t="s">
        <v>964</v>
      </c>
    </row>
    <row r="67" ht="14.25" customHeight="1">
      <c r="A67" s="1" t="s">
        <v>965</v>
      </c>
      <c r="B67" s="1" t="s">
        <v>213</v>
      </c>
      <c r="C67" s="1" t="s">
        <v>763</v>
      </c>
      <c r="D67" s="1" t="s">
        <v>453</v>
      </c>
      <c r="E67" s="1" t="s">
        <v>966</v>
      </c>
    </row>
    <row r="68" ht="14.25" customHeight="1">
      <c r="A68" s="1" t="s">
        <v>967</v>
      </c>
      <c r="B68" s="1" t="s">
        <v>213</v>
      </c>
      <c r="C68" s="1" t="s">
        <v>763</v>
      </c>
      <c r="D68" s="1" t="s">
        <v>453</v>
      </c>
      <c r="E68" s="1" t="s">
        <v>968</v>
      </c>
    </row>
    <row r="69" ht="14.25" customHeight="1">
      <c r="A69" s="1" t="s">
        <v>969</v>
      </c>
      <c r="B69" s="1" t="s">
        <v>213</v>
      </c>
      <c r="C69" s="1" t="s">
        <v>763</v>
      </c>
      <c r="D69" s="1" t="s">
        <v>453</v>
      </c>
      <c r="E69" s="1" t="s">
        <v>970</v>
      </c>
    </row>
    <row r="70" ht="14.25" customHeight="1">
      <c r="A70" s="1" t="s">
        <v>971</v>
      </c>
      <c r="B70" s="1" t="s">
        <v>213</v>
      </c>
      <c r="C70" s="1" t="s">
        <v>763</v>
      </c>
      <c r="D70" s="1" t="s">
        <v>459</v>
      </c>
      <c r="E70" s="1" t="s">
        <v>972</v>
      </c>
    </row>
    <row r="71" ht="14.25" customHeight="1">
      <c r="A71" s="1" t="s">
        <v>973</v>
      </c>
      <c r="B71" s="1" t="s">
        <v>213</v>
      </c>
      <c r="C71" s="1" t="s">
        <v>763</v>
      </c>
      <c r="D71" s="1" t="s">
        <v>459</v>
      </c>
      <c r="E71" s="1" t="s">
        <v>974</v>
      </c>
    </row>
    <row r="72" ht="14.25" customHeight="1">
      <c r="A72" s="1" t="s">
        <v>975</v>
      </c>
      <c r="B72" s="1" t="s">
        <v>213</v>
      </c>
      <c r="C72" s="1" t="s">
        <v>763</v>
      </c>
      <c r="D72" s="1" t="s">
        <v>459</v>
      </c>
      <c r="E72" s="1" t="s">
        <v>976</v>
      </c>
    </row>
    <row r="73" ht="14.25" customHeight="1">
      <c r="A73" s="1" t="s">
        <v>977</v>
      </c>
      <c r="B73" s="1" t="s">
        <v>213</v>
      </c>
      <c r="C73" s="1" t="s">
        <v>763</v>
      </c>
      <c r="D73" s="1" t="s">
        <v>461</v>
      </c>
      <c r="E73" s="1" t="s">
        <v>978</v>
      </c>
    </row>
    <row r="74" ht="14.25" customHeight="1">
      <c r="A74" s="1" t="s">
        <v>979</v>
      </c>
      <c r="B74" s="1" t="s">
        <v>213</v>
      </c>
      <c r="C74" s="1" t="s">
        <v>763</v>
      </c>
      <c r="D74" s="1" t="s">
        <v>461</v>
      </c>
      <c r="E74" s="1" t="s">
        <v>980</v>
      </c>
    </row>
    <row r="75" ht="14.25" customHeight="1">
      <c r="A75" s="1" t="s">
        <v>981</v>
      </c>
      <c r="B75" s="1" t="s">
        <v>213</v>
      </c>
      <c r="C75" s="1" t="s">
        <v>763</v>
      </c>
      <c r="D75" s="1" t="s">
        <v>461</v>
      </c>
      <c r="E75" s="1" t="s">
        <v>982</v>
      </c>
    </row>
    <row r="76" ht="14.25" customHeight="1">
      <c r="A76" s="1" t="s">
        <v>983</v>
      </c>
      <c r="B76" s="1" t="s">
        <v>81</v>
      </c>
      <c r="C76" s="1" t="s">
        <v>763</v>
      </c>
      <c r="D76" s="1" t="s">
        <v>409</v>
      </c>
      <c r="E76" s="1" t="s">
        <v>984</v>
      </c>
    </row>
    <row r="77" ht="14.25" customHeight="1">
      <c r="A77" s="1" t="s">
        <v>985</v>
      </c>
      <c r="B77" s="1" t="s">
        <v>81</v>
      </c>
      <c r="C77" s="1" t="s">
        <v>763</v>
      </c>
      <c r="D77" s="1" t="s">
        <v>409</v>
      </c>
      <c r="E77" s="1" t="s">
        <v>986</v>
      </c>
    </row>
    <row r="78" ht="14.25" customHeight="1">
      <c r="A78" s="1" t="s">
        <v>987</v>
      </c>
      <c r="B78" s="1" t="s">
        <v>81</v>
      </c>
      <c r="C78" s="1" t="s">
        <v>763</v>
      </c>
      <c r="D78" s="1" t="s">
        <v>409</v>
      </c>
      <c r="E78" s="1" t="s">
        <v>988</v>
      </c>
    </row>
    <row r="79" ht="14.25" customHeight="1">
      <c r="A79" s="1" t="s">
        <v>989</v>
      </c>
      <c r="B79" s="1" t="s">
        <v>81</v>
      </c>
      <c r="C79" s="1" t="s">
        <v>763</v>
      </c>
      <c r="D79" s="1" t="s">
        <v>456</v>
      </c>
      <c r="E79" s="1" t="s">
        <v>990</v>
      </c>
    </row>
    <row r="80" ht="14.25" customHeight="1">
      <c r="A80" s="1" t="s">
        <v>991</v>
      </c>
      <c r="B80" s="1" t="s">
        <v>81</v>
      </c>
      <c r="C80" s="1" t="s">
        <v>763</v>
      </c>
      <c r="D80" s="1" t="s">
        <v>456</v>
      </c>
      <c r="E80" s="1" t="s">
        <v>992</v>
      </c>
    </row>
    <row r="81" ht="14.25" customHeight="1">
      <c r="A81" s="1" t="s">
        <v>993</v>
      </c>
      <c r="B81" s="1" t="s">
        <v>81</v>
      </c>
      <c r="C81" s="1" t="s">
        <v>763</v>
      </c>
      <c r="D81" s="1" t="s">
        <v>456</v>
      </c>
      <c r="E81" s="1" t="s">
        <v>994</v>
      </c>
    </row>
    <row r="82" ht="14.25" customHeight="1">
      <c r="A82" s="1" t="s">
        <v>995</v>
      </c>
      <c r="B82" s="1" t="s">
        <v>81</v>
      </c>
      <c r="C82" s="1" t="s">
        <v>763</v>
      </c>
      <c r="D82" s="1" t="s">
        <v>456</v>
      </c>
      <c r="E82" s="1" t="s">
        <v>996</v>
      </c>
    </row>
    <row r="83" ht="14.25" customHeight="1">
      <c r="A83" s="1" t="s">
        <v>997</v>
      </c>
      <c r="B83" s="1" t="s">
        <v>42</v>
      </c>
      <c r="C83" s="1" t="s">
        <v>814</v>
      </c>
      <c r="D83" s="1" t="s">
        <v>402</v>
      </c>
      <c r="E83" s="1" t="s">
        <v>998</v>
      </c>
    </row>
    <row r="84" ht="14.25" customHeight="1">
      <c r="A84" s="1" t="s">
        <v>999</v>
      </c>
      <c r="B84" s="1" t="s">
        <v>42</v>
      </c>
      <c r="C84" s="1" t="s">
        <v>814</v>
      </c>
      <c r="D84" s="1" t="s">
        <v>402</v>
      </c>
      <c r="E84" s="1" t="s">
        <v>1000</v>
      </c>
    </row>
    <row r="85" ht="14.25" customHeight="1">
      <c r="A85" s="1" t="s">
        <v>1001</v>
      </c>
      <c r="B85" s="1" t="s">
        <v>42</v>
      </c>
      <c r="C85" s="1" t="s">
        <v>814</v>
      </c>
      <c r="D85" s="1" t="s">
        <v>402</v>
      </c>
      <c r="E85" s="1" t="s">
        <v>1002</v>
      </c>
    </row>
    <row r="86" ht="14.25" customHeight="1">
      <c r="A86" s="1" t="s">
        <v>1003</v>
      </c>
      <c r="B86" s="1" t="s">
        <v>42</v>
      </c>
      <c r="C86" s="1" t="s">
        <v>814</v>
      </c>
      <c r="D86" s="1" t="s">
        <v>402</v>
      </c>
      <c r="E86" s="1" t="s">
        <v>1004</v>
      </c>
    </row>
    <row r="87" ht="14.25" customHeight="1">
      <c r="A87" s="1" t="s">
        <v>1005</v>
      </c>
      <c r="B87" s="1" t="s">
        <v>42</v>
      </c>
      <c r="C87" s="1" t="s">
        <v>814</v>
      </c>
      <c r="D87" s="1" t="s">
        <v>402</v>
      </c>
      <c r="E87" s="1" t="s">
        <v>1006</v>
      </c>
    </row>
    <row r="88" ht="14.25" customHeight="1">
      <c r="A88" s="1" t="s">
        <v>1007</v>
      </c>
      <c r="B88" s="1" t="s">
        <v>42</v>
      </c>
      <c r="C88" s="1" t="s">
        <v>814</v>
      </c>
      <c r="D88" s="1" t="s">
        <v>816</v>
      </c>
      <c r="E88" s="1" t="s">
        <v>1008</v>
      </c>
    </row>
    <row r="89" ht="14.25" customHeight="1">
      <c r="A89" s="1" t="s">
        <v>1009</v>
      </c>
      <c r="B89" s="1" t="s">
        <v>42</v>
      </c>
      <c r="C89" s="1" t="s">
        <v>814</v>
      </c>
      <c r="D89" s="1" t="s">
        <v>816</v>
      </c>
      <c r="E89" s="1" t="s">
        <v>1010</v>
      </c>
    </row>
    <row r="90" ht="14.25" customHeight="1">
      <c r="A90" s="1" t="s">
        <v>1011</v>
      </c>
      <c r="B90" s="1" t="s">
        <v>42</v>
      </c>
      <c r="C90" s="1" t="s">
        <v>814</v>
      </c>
      <c r="D90" s="1" t="s">
        <v>816</v>
      </c>
      <c r="E90" s="1" t="s">
        <v>1012</v>
      </c>
    </row>
    <row r="91" ht="14.25" customHeight="1">
      <c r="A91" s="1" t="s">
        <v>1013</v>
      </c>
      <c r="B91" s="1" t="s">
        <v>42</v>
      </c>
      <c r="C91" s="1" t="s">
        <v>814</v>
      </c>
      <c r="D91" s="1" t="s">
        <v>816</v>
      </c>
      <c r="E91" s="1" t="s">
        <v>1014</v>
      </c>
    </row>
    <row r="92" ht="14.25" customHeight="1">
      <c r="A92" s="1" t="s">
        <v>1015</v>
      </c>
      <c r="B92" s="1" t="s">
        <v>42</v>
      </c>
      <c r="C92" s="1" t="s">
        <v>814</v>
      </c>
      <c r="D92" s="1" t="s">
        <v>816</v>
      </c>
      <c r="E92" s="1" t="s">
        <v>1016</v>
      </c>
    </row>
    <row r="93" ht="14.25" customHeight="1">
      <c r="A93" s="1" t="s">
        <v>1017</v>
      </c>
      <c r="B93" s="1" t="s">
        <v>14</v>
      </c>
      <c r="C93" s="1" t="s">
        <v>814</v>
      </c>
      <c r="D93" s="1" t="s">
        <v>820</v>
      </c>
      <c r="E93" s="1" t="s">
        <v>1018</v>
      </c>
    </row>
    <row r="94" ht="14.25" customHeight="1">
      <c r="A94" s="1" t="s">
        <v>1019</v>
      </c>
      <c r="B94" s="1" t="s">
        <v>14</v>
      </c>
      <c r="C94" s="1" t="s">
        <v>814</v>
      </c>
      <c r="D94" s="1" t="s">
        <v>820</v>
      </c>
      <c r="E94" s="1" t="s">
        <v>1020</v>
      </c>
    </row>
    <row r="95" ht="14.25" customHeight="1">
      <c r="A95" s="1" t="s">
        <v>1021</v>
      </c>
      <c r="B95" s="1" t="s">
        <v>14</v>
      </c>
      <c r="C95" s="1" t="s">
        <v>814</v>
      </c>
      <c r="D95" s="1" t="s">
        <v>820</v>
      </c>
      <c r="E95" s="1" t="s">
        <v>1022</v>
      </c>
    </row>
    <row r="96" ht="14.25" customHeight="1">
      <c r="A96" s="1" t="s">
        <v>1023</v>
      </c>
      <c r="B96" s="1" t="s">
        <v>14</v>
      </c>
      <c r="C96" s="1" t="s">
        <v>814</v>
      </c>
      <c r="D96" s="1" t="s">
        <v>820</v>
      </c>
      <c r="E96" s="1" t="s">
        <v>1024</v>
      </c>
    </row>
    <row r="97" ht="14.25" customHeight="1">
      <c r="A97" s="1" t="s">
        <v>1025</v>
      </c>
      <c r="B97" s="1" t="s">
        <v>14</v>
      </c>
      <c r="C97" s="1" t="s">
        <v>814</v>
      </c>
      <c r="D97" s="1" t="s">
        <v>820</v>
      </c>
      <c r="E97" s="1" t="s">
        <v>1026</v>
      </c>
    </row>
    <row r="98" ht="14.25" customHeight="1">
      <c r="A98" s="1" t="s">
        <v>1027</v>
      </c>
      <c r="B98" s="1" t="s">
        <v>160</v>
      </c>
      <c r="C98" s="1" t="s">
        <v>814</v>
      </c>
      <c r="D98" s="1" t="s">
        <v>443</v>
      </c>
      <c r="E98" s="1" t="s">
        <v>1028</v>
      </c>
    </row>
    <row r="99" ht="14.25" customHeight="1">
      <c r="A99" s="1" t="s">
        <v>1029</v>
      </c>
      <c r="B99" s="1" t="s">
        <v>160</v>
      </c>
      <c r="C99" s="1" t="s">
        <v>814</v>
      </c>
      <c r="D99" s="1" t="s">
        <v>443</v>
      </c>
      <c r="E99" s="1" t="s">
        <v>1030</v>
      </c>
    </row>
    <row r="100" ht="14.25" customHeight="1">
      <c r="A100" s="1" t="s">
        <v>1031</v>
      </c>
      <c r="B100" s="1" t="s">
        <v>160</v>
      </c>
      <c r="C100" s="1" t="s">
        <v>814</v>
      </c>
      <c r="D100" s="1" t="s">
        <v>443</v>
      </c>
      <c r="E100" s="1" t="s">
        <v>1032</v>
      </c>
    </row>
    <row r="101" ht="14.25" customHeight="1">
      <c r="A101" s="1" t="s">
        <v>1033</v>
      </c>
      <c r="B101" s="1" t="s">
        <v>160</v>
      </c>
      <c r="C101" s="1" t="s">
        <v>814</v>
      </c>
      <c r="D101" s="1" t="s">
        <v>443</v>
      </c>
      <c r="E101" s="1" t="s">
        <v>1034</v>
      </c>
    </row>
    <row r="102" ht="14.25" customHeight="1">
      <c r="A102" s="1" t="s">
        <v>1035</v>
      </c>
      <c r="B102" s="1" t="s">
        <v>160</v>
      </c>
      <c r="C102" s="1" t="s">
        <v>814</v>
      </c>
      <c r="D102" s="1" t="s">
        <v>443</v>
      </c>
      <c r="E102" s="1" t="s">
        <v>1036</v>
      </c>
    </row>
    <row r="103" ht="14.25" customHeight="1">
      <c r="A103" s="1" t="s">
        <v>1037</v>
      </c>
      <c r="B103" s="1" t="s">
        <v>160</v>
      </c>
      <c r="C103" s="1" t="s">
        <v>814</v>
      </c>
      <c r="D103" s="1" t="s">
        <v>443</v>
      </c>
      <c r="E103" s="1" t="s">
        <v>1038</v>
      </c>
    </row>
    <row r="104" ht="14.25" customHeight="1">
      <c r="A104" s="1" t="s">
        <v>1039</v>
      </c>
      <c r="B104" s="1" t="s">
        <v>160</v>
      </c>
      <c r="C104" s="1" t="s">
        <v>814</v>
      </c>
      <c r="D104" s="1" t="s">
        <v>443</v>
      </c>
      <c r="E104" s="1" t="s">
        <v>1040</v>
      </c>
    </row>
    <row r="105" ht="14.25" customHeight="1">
      <c r="A105" s="1" t="s">
        <v>1041</v>
      </c>
      <c r="B105" s="1" t="s">
        <v>160</v>
      </c>
      <c r="C105" s="1" t="s">
        <v>814</v>
      </c>
      <c r="D105" s="1" t="s">
        <v>443</v>
      </c>
      <c r="E105" s="1" t="s">
        <v>1042</v>
      </c>
    </row>
    <row r="106" ht="14.25" customHeight="1">
      <c r="A106" s="1" t="s">
        <v>1043</v>
      </c>
      <c r="B106" s="1" t="s">
        <v>160</v>
      </c>
      <c r="C106" s="1" t="s">
        <v>814</v>
      </c>
      <c r="D106" s="1" t="s">
        <v>443</v>
      </c>
      <c r="E106" s="1" t="s">
        <v>1044</v>
      </c>
    </row>
    <row r="107" ht="14.25" customHeight="1">
      <c r="A107" s="1" t="s">
        <v>1045</v>
      </c>
      <c r="B107" s="1" t="s">
        <v>160</v>
      </c>
      <c r="C107" s="1" t="s">
        <v>814</v>
      </c>
      <c r="D107" s="1" t="s">
        <v>443</v>
      </c>
      <c r="E107" s="1" t="s">
        <v>1046</v>
      </c>
    </row>
    <row r="108" ht="14.25" customHeight="1">
      <c r="A108" s="1" t="s">
        <v>1047</v>
      </c>
      <c r="B108" s="1" t="s">
        <v>160</v>
      </c>
      <c r="C108" s="1" t="s">
        <v>814</v>
      </c>
      <c r="D108" s="1" t="s">
        <v>443</v>
      </c>
      <c r="E108" s="1" t="s">
        <v>1048</v>
      </c>
    </row>
    <row r="109" ht="14.25" customHeight="1">
      <c r="A109" s="1" t="s">
        <v>1049</v>
      </c>
      <c r="B109" s="1" t="s">
        <v>160</v>
      </c>
      <c r="C109" s="1" t="s">
        <v>814</v>
      </c>
      <c r="D109" s="1" t="s">
        <v>443</v>
      </c>
      <c r="E109" s="1" t="s">
        <v>1050</v>
      </c>
    </row>
    <row r="110" ht="14.25" customHeight="1">
      <c r="A110" s="1" t="s">
        <v>1051</v>
      </c>
      <c r="B110" s="1" t="s">
        <v>213</v>
      </c>
      <c r="C110" s="1" t="s">
        <v>814</v>
      </c>
      <c r="D110" s="1" t="s">
        <v>446</v>
      </c>
      <c r="E110" s="1" t="s">
        <v>1052</v>
      </c>
    </row>
    <row r="111" ht="14.25" customHeight="1">
      <c r="A111" s="1" t="s">
        <v>1053</v>
      </c>
      <c r="B111" s="1" t="s">
        <v>213</v>
      </c>
      <c r="C111" s="1" t="s">
        <v>814</v>
      </c>
      <c r="D111" s="1" t="s">
        <v>446</v>
      </c>
      <c r="E111" s="1" t="s">
        <v>1054</v>
      </c>
    </row>
    <row r="112" ht="14.25" customHeight="1">
      <c r="A112" s="1" t="s">
        <v>1055</v>
      </c>
      <c r="B112" s="1" t="s">
        <v>213</v>
      </c>
      <c r="C112" s="1" t="s">
        <v>814</v>
      </c>
      <c r="D112" s="1" t="s">
        <v>446</v>
      </c>
      <c r="E112" s="1" t="s">
        <v>1056</v>
      </c>
    </row>
    <row r="113" ht="14.25" customHeight="1">
      <c r="A113" s="1" t="s">
        <v>1057</v>
      </c>
      <c r="B113" s="1" t="s">
        <v>213</v>
      </c>
      <c r="C113" s="1" t="s">
        <v>814</v>
      </c>
      <c r="D113" s="1" t="s">
        <v>446</v>
      </c>
      <c r="E113" s="1" t="s">
        <v>1058</v>
      </c>
    </row>
    <row r="114" ht="14.25" customHeight="1">
      <c r="A114" s="1" t="s">
        <v>1059</v>
      </c>
      <c r="B114" s="1" t="s">
        <v>213</v>
      </c>
      <c r="C114" s="1" t="s">
        <v>814</v>
      </c>
      <c r="D114" s="1" t="s">
        <v>446</v>
      </c>
      <c r="E114" s="1" t="s">
        <v>1060</v>
      </c>
    </row>
    <row r="115" ht="14.25" customHeight="1">
      <c r="A115" s="1" t="s">
        <v>1061</v>
      </c>
      <c r="B115" s="1" t="s">
        <v>213</v>
      </c>
      <c r="C115" s="1" t="s">
        <v>814</v>
      </c>
      <c r="D115" s="1" t="s">
        <v>824</v>
      </c>
      <c r="E115" s="1" t="s">
        <v>1062</v>
      </c>
    </row>
    <row r="116" ht="14.25" customHeight="1">
      <c r="A116" s="1" t="s">
        <v>1063</v>
      </c>
      <c r="B116" s="1" t="s">
        <v>213</v>
      </c>
      <c r="C116" s="1" t="s">
        <v>814</v>
      </c>
      <c r="D116" s="1" t="s">
        <v>824</v>
      </c>
      <c r="E116" s="1" t="s">
        <v>1064</v>
      </c>
    </row>
    <row r="117" ht="14.25" customHeight="1">
      <c r="A117" s="1" t="s">
        <v>1065</v>
      </c>
      <c r="B117" s="1" t="s">
        <v>213</v>
      </c>
      <c r="C117" s="1" t="s">
        <v>814</v>
      </c>
      <c r="D117" s="1" t="s">
        <v>824</v>
      </c>
      <c r="E117" s="1" t="s">
        <v>1066</v>
      </c>
    </row>
    <row r="118" ht="14.25" customHeight="1">
      <c r="A118" s="1" t="s">
        <v>1067</v>
      </c>
      <c r="B118" s="1" t="s">
        <v>213</v>
      </c>
      <c r="C118" s="1" t="s">
        <v>814</v>
      </c>
      <c r="D118" s="1" t="s">
        <v>824</v>
      </c>
      <c r="E118" s="1" t="s">
        <v>1068</v>
      </c>
    </row>
    <row r="119" ht="14.25" customHeight="1">
      <c r="A119" s="1" t="s">
        <v>1069</v>
      </c>
      <c r="B119" s="1" t="s">
        <v>213</v>
      </c>
      <c r="C119" s="1" t="s">
        <v>814</v>
      </c>
      <c r="D119" s="1" t="s">
        <v>824</v>
      </c>
      <c r="E119" s="1" t="s">
        <v>1070</v>
      </c>
    </row>
    <row r="120" ht="14.25" customHeight="1">
      <c r="A120" s="1" t="s">
        <v>1071</v>
      </c>
      <c r="B120" s="1" t="s">
        <v>213</v>
      </c>
      <c r="C120" s="1" t="s">
        <v>814</v>
      </c>
      <c r="D120" s="1" t="s">
        <v>824</v>
      </c>
      <c r="E120" s="1" t="s">
        <v>1072</v>
      </c>
    </row>
    <row r="121" ht="14.25" customHeight="1">
      <c r="A121" s="1" t="s">
        <v>1073</v>
      </c>
      <c r="B121" s="1" t="s">
        <v>256</v>
      </c>
      <c r="C121" s="1" t="s">
        <v>814</v>
      </c>
      <c r="D121" s="1" t="s">
        <v>826</v>
      </c>
      <c r="E121" s="1" t="s">
        <v>1074</v>
      </c>
    </row>
    <row r="122" ht="14.25" customHeight="1">
      <c r="A122" s="1" t="s">
        <v>1075</v>
      </c>
      <c r="B122" s="1" t="s">
        <v>256</v>
      </c>
      <c r="C122" s="1" t="s">
        <v>814</v>
      </c>
      <c r="D122" s="1" t="s">
        <v>826</v>
      </c>
      <c r="E122" s="1" t="s">
        <v>1076</v>
      </c>
    </row>
    <row r="123" ht="14.25" customHeight="1">
      <c r="A123" s="1" t="s">
        <v>1077</v>
      </c>
      <c r="B123" s="1" t="s">
        <v>256</v>
      </c>
      <c r="C123" s="1" t="s">
        <v>814</v>
      </c>
      <c r="D123" s="1" t="s">
        <v>826</v>
      </c>
      <c r="E123" s="1" t="s">
        <v>1078</v>
      </c>
    </row>
    <row r="124" ht="14.25" customHeight="1">
      <c r="A124" s="1" t="s">
        <v>1079</v>
      </c>
      <c r="B124" s="1" t="s">
        <v>256</v>
      </c>
      <c r="C124" s="1" t="s">
        <v>814</v>
      </c>
      <c r="D124" s="1" t="s">
        <v>826</v>
      </c>
      <c r="E124" s="1" t="s">
        <v>1080</v>
      </c>
    </row>
    <row r="125" ht="14.25" customHeight="1">
      <c r="A125" s="1" t="s">
        <v>1081</v>
      </c>
      <c r="B125" s="1" t="s">
        <v>256</v>
      </c>
      <c r="C125" s="1" t="s">
        <v>814</v>
      </c>
      <c r="D125" s="1" t="s">
        <v>826</v>
      </c>
      <c r="E125" s="1" t="s">
        <v>1082</v>
      </c>
    </row>
    <row r="126" ht="14.25" customHeight="1">
      <c r="A126" s="1" t="s">
        <v>1083</v>
      </c>
      <c r="B126" s="1" t="s">
        <v>256</v>
      </c>
      <c r="C126" s="1" t="s">
        <v>814</v>
      </c>
      <c r="D126" s="1" t="s">
        <v>828</v>
      </c>
      <c r="E126" s="1" t="s">
        <v>1084</v>
      </c>
    </row>
    <row r="127" ht="14.25" customHeight="1">
      <c r="A127" s="1" t="s">
        <v>1085</v>
      </c>
      <c r="B127" s="1" t="s">
        <v>256</v>
      </c>
      <c r="C127" s="1" t="s">
        <v>814</v>
      </c>
      <c r="D127" s="1" t="s">
        <v>828</v>
      </c>
      <c r="E127" s="1" t="s">
        <v>1086</v>
      </c>
    </row>
    <row r="128" ht="14.25" customHeight="1">
      <c r="A128" s="1" t="s">
        <v>1087</v>
      </c>
      <c r="B128" s="1" t="s">
        <v>256</v>
      </c>
      <c r="C128" s="1" t="s">
        <v>814</v>
      </c>
      <c r="D128" s="1" t="s">
        <v>828</v>
      </c>
      <c r="E128" s="1" t="s">
        <v>1088</v>
      </c>
    </row>
    <row r="129" ht="14.25" customHeight="1">
      <c r="A129" s="1" t="s">
        <v>1089</v>
      </c>
      <c r="B129" s="1" t="s">
        <v>256</v>
      </c>
      <c r="C129" s="1" t="s">
        <v>814</v>
      </c>
      <c r="D129" s="1" t="s">
        <v>828</v>
      </c>
      <c r="E129" s="1" t="s">
        <v>1090</v>
      </c>
    </row>
    <row r="130" ht="14.25" customHeight="1">
      <c r="A130" s="1" t="s">
        <v>1091</v>
      </c>
      <c r="B130" s="1" t="s">
        <v>256</v>
      </c>
      <c r="C130" s="1" t="s">
        <v>814</v>
      </c>
      <c r="D130" s="1" t="s">
        <v>828</v>
      </c>
      <c r="E130" s="1" t="s">
        <v>1092</v>
      </c>
    </row>
    <row r="131" ht="14.25" customHeight="1">
      <c r="A131" s="1" t="s">
        <v>1093</v>
      </c>
      <c r="B131" s="1" t="s">
        <v>256</v>
      </c>
      <c r="C131" s="1" t="s">
        <v>814</v>
      </c>
      <c r="D131" s="1" t="s">
        <v>523</v>
      </c>
      <c r="E131" s="1" t="s">
        <v>1094</v>
      </c>
    </row>
    <row r="132" ht="14.25" customHeight="1">
      <c r="A132" s="1" t="s">
        <v>1095</v>
      </c>
      <c r="B132" s="1" t="s">
        <v>256</v>
      </c>
      <c r="C132" s="1" t="s">
        <v>814</v>
      </c>
      <c r="D132" s="1" t="s">
        <v>523</v>
      </c>
      <c r="E132" s="1" t="s">
        <v>1096</v>
      </c>
    </row>
    <row r="133" ht="14.25" customHeight="1">
      <c r="A133" s="1" t="s">
        <v>1097</v>
      </c>
      <c r="B133" s="1" t="s">
        <v>256</v>
      </c>
      <c r="C133" s="1" t="s">
        <v>814</v>
      </c>
      <c r="D133" s="1" t="s">
        <v>523</v>
      </c>
      <c r="E133" s="1" t="s">
        <v>1098</v>
      </c>
    </row>
    <row r="134" ht="14.25" customHeight="1">
      <c r="A134" s="1" t="s">
        <v>1099</v>
      </c>
      <c r="B134" s="1" t="s">
        <v>256</v>
      </c>
      <c r="C134" s="1" t="s">
        <v>814</v>
      </c>
      <c r="D134" s="1" t="s">
        <v>523</v>
      </c>
      <c r="E134" s="1" t="s">
        <v>1100</v>
      </c>
    </row>
    <row r="135" ht="14.25" customHeight="1">
      <c r="A135" s="1" t="s">
        <v>1101</v>
      </c>
      <c r="B135" s="1" t="s">
        <v>256</v>
      </c>
      <c r="C135" s="1" t="s">
        <v>814</v>
      </c>
      <c r="D135" s="1" t="s">
        <v>523</v>
      </c>
      <c r="E135" s="1" t="s">
        <v>1102</v>
      </c>
    </row>
    <row r="136" ht="14.25" customHeight="1">
      <c r="A136" s="1" t="s">
        <v>1103</v>
      </c>
      <c r="B136" s="1" t="str">
        <f>VLOOKUP(D136,BasicSkills!$B$1:$E$55,2,FALSE)</f>
        <v>AGI</v>
      </c>
      <c r="C136" s="1" t="str">
        <f>VLOOKUP(D136,BasicSkills!$B$1:$E$55,3,FALSE)</f>
        <v>Support</v>
      </c>
      <c r="D136" s="1" t="s">
        <v>404</v>
      </c>
      <c r="E136" s="1" t="s">
        <v>1104</v>
      </c>
    </row>
    <row r="137" ht="14.25" customHeight="1">
      <c r="A137" s="1" t="s">
        <v>1105</v>
      </c>
      <c r="B137" s="1" t="str">
        <f>VLOOKUP(D137,BasicSkills!$B$1:$E$55,2,FALSE)</f>
        <v>AGI</v>
      </c>
      <c r="C137" s="1" t="str">
        <f>VLOOKUP(D137,BasicSkills!$B$1:$E$55,3,FALSE)</f>
        <v>Support</v>
      </c>
      <c r="D137" s="1" t="s">
        <v>404</v>
      </c>
      <c r="E137" s="1" t="s">
        <v>1106</v>
      </c>
    </row>
    <row r="138" ht="14.25" customHeight="1">
      <c r="A138" s="1" t="s">
        <v>1107</v>
      </c>
      <c r="B138" s="1" t="str">
        <f>VLOOKUP(D138,BasicSkills!$B$1:$E$55,2,FALSE)</f>
        <v>AGI</v>
      </c>
      <c r="C138" s="1" t="str">
        <f>VLOOKUP(D138,BasicSkills!$B$1:$E$55,3,FALSE)</f>
        <v>Support</v>
      </c>
      <c r="D138" s="1" t="s">
        <v>411</v>
      </c>
      <c r="E138" s="1" t="s">
        <v>1108</v>
      </c>
    </row>
    <row r="139" ht="14.25" customHeight="1">
      <c r="A139" s="1" t="s">
        <v>1109</v>
      </c>
      <c r="B139" s="1" t="str">
        <f>VLOOKUP(D139,BasicSkills!$B$1:$E$55,2,FALSE)</f>
        <v>AGI</v>
      </c>
      <c r="C139" s="1" t="str">
        <f>VLOOKUP(D139,BasicSkills!$B$1:$E$55,3,FALSE)</f>
        <v>Support</v>
      </c>
      <c r="D139" s="1" t="s">
        <v>411</v>
      </c>
      <c r="E139" s="1" t="s">
        <v>1110</v>
      </c>
    </row>
    <row r="140" ht="14.25" customHeight="1">
      <c r="A140" s="1" t="s">
        <v>487</v>
      </c>
      <c r="B140" s="1" t="str">
        <f>VLOOKUP(D140,BasicSkills!$B$1:$E$55,2,FALSE)</f>
        <v>CAR</v>
      </c>
      <c r="C140" s="1" t="str">
        <f>VLOOKUP(TRIM(D140),BasicSkills!$B$1:$E$55,3,FALSE)</f>
        <v>Support</v>
      </c>
      <c r="D140" s="1" t="s">
        <v>770</v>
      </c>
      <c r="E140" s="1" t="s">
        <v>1111</v>
      </c>
    </row>
    <row r="141" ht="14.25" customHeight="1">
      <c r="A141" s="1" t="s">
        <v>1112</v>
      </c>
      <c r="B141" s="1" t="str">
        <f>VLOOKUP(D141,BasicSkills!$B$1:$E$55,2,FALSE)</f>
        <v>CAR</v>
      </c>
      <c r="C141" s="1" t="str">
        <f>VLOOKUP(D141,BasicSkills!$B$1:$E$55,3,FALSE)</f>
        <v>Support</v>
      </c>
      <c r="D141" s="1" t="s">
        <v>770</v>
      </c>
      <c r="E141" s="1" t="s">
        <v>1113</v>
      </c>
    </row>
    <row r="142" ht="14.25" customHeight="1">
      <c r="A142" s="1" t="s">
        <v>1114</v>
      </c>
      <c r="B142" s="1" t="str">
        <f>VLOOKUP(D142,BasicSkills!$B$1:$E$55,2,FALSE)</f>
        <v>CAR</v>
      </c>
      <c r="C142" s="1" t="str">
        <f>VLOOKUP(D142,BasicSkills!$B$1:$E$55,3,FALSE)</f>
        <v>Support</v>
      </c>
      <c r="D142" s="1" t="s">
        <v>417</v>
      </c>
      <c r="E142" s="1" t="s">
        <v>1115</v>
      </c>
    </row>
    <row r="143" ht="14.25" customHeight="1">
      <c r="A143" s="1" t="s">
        <v>1116</v>
      </c>
      <c r="B143" s="1" t="str">
        <f>VLOOKUP(D143,BasicSkills!$B$1:$E$55,2,FALSE)</f>
        <v>CAR</v>
      </c>
      <c r="C143" s="1" t="str">
        <f>VLOOKUP(D143,BasicSkills!$B$1:$E$55,3,FALSE)</f>
        <v>Support</v>
      </c>
      <c r="D143" s="1" t="s">
        <v>417</v>
      </c>
      <c r="E143" s="1" t="s">
        <v>1117</v>
      </c>
    </row>
    <row r="144" ht="14.25" customHeight="1">
      <c r="A144" s="1" t="s">
        <v>1118</v>
      </c>
      <c r="B144" s="1" t="str">
        <f>VLOOKUP(D144,BasicSkills!$B$1:$E$55,2,FALSE)</f>
        <v>CAR</v>
      </c>
      <c r="C144" s="1" t="str">
        <f>VLOOKUP(D144,BasicSkills!$B$1:$E$55,3,FALSE)</f>
        <v>Support</v>
      </c>
      <c r="D144" s="1" t="s">
        <v>417</v>
      </c>
      <c r="E144" s="1" t="s">
        <v>1119</v>
      </c>
    </row>
    <row r="145" ht="14.25" customHeight="1">
      <c r="A145" s="1" t="s">
        <v>1120</v>
      </c>
      <c r="B145" s="1" t="str">
        <f>VLOOKUP(D145,BasicSkills!$B$1:$E$55,2,FALSE)</f>
        <v>CAR</v>
      </c>
      <c r="C145" s="1" t="str">
        <f>VLOOKUP(D145,BasicSkills!$B$1:$E$55,3,FALSE)</f>
        <v>Support</v>
      </c>
      <c r="D145" s="1" t="s">
        <v>415</v>
      </c>
      <c r="E145" s="1" t="s">
        <v>1121</v>
      </c>
    </row>
    <row r="146" ht="14.25" customHeight="1">
      <c r="A146" s="1" t="s">
        <v>1122</v>
      </c>
      <c r="B146" s="1" t="str">
        <f>VLOOKUP(D146,BasicSkills!$B$1:$E$55,2,FALSE)</f>
        <v>CAR</v>
      </c>
      <c r="C146" s="1" t="str">
        <f>VLOOKUP(D146,BasicSkills!$B$1:$E$55,3,FALSE)</f>
        <v>Support</v>
      </c>
      <c r="D146" s="1" t="s">
        <v>415</v>
      </c>
      <c r="E146" s="1" t="s">
        <v>1123</v>
      </c>
    </row>
    <row r="147" ht="14.25" customHeight="1">
      <c r="A147" s="1" t="s">
        <v>1124</v>
      </c>
      <c r="B147" s="1" t="str">
        <f>VLOOKUP(D147,BasicSkills!$B$1:$E$55,2,FALSE)</f>
        <v>INT</v>
      </c>
      <c r="C147" s="1" t="str">
        <f>VLOOKUP(D147,BasicSkills!$B$1:$E$55,3,FALSE)</f>
        <v>Support</v>
      </c>
      <c r="D147" s="1" t="s">
        <v>780</v>
      </c>
      <c r="E147" s="1" t="s">
        <v>1125</v>
      </c>
    </row>
    <row r="148" ht="14.25" customHeight="1">
      <c r="A148" s="1" t="s">
        <v>1126</v>
      </c>
      <c r="B148" s="1" t="str">
        <f>VLOOKUP(D148,BasicSkills!$B$1:$E$55,2,FALSE)</f>
        <v>INT</v>
      </c>
      <c r="C148" s="1" t="str">
        <f>VLOOKUP(D148,BasicSkills!$B$1:$E$55,3,FALSE)</f>
        <v>Support</v>
      </c>
      <c r="D148" s="1" t="s">
        <v>780</v>
      </c>
      <c r="E148" s="1" t="s">
        <v>1127</v>
      </c>
    </row>
    <row r="149" ht="14.25" customHeight="1">
      <c r="A149" s="1" t="s">
        <v>1128</v>
      </c>
      <c r="B149" s="1" t="str">
        <f>VLOOKUP(D149,BasicSkills!$B$1:$E$55,2,FALSE)</f>
        <v>INT</v>
      </c>
      <c r="C149" s="1" t="str">
        <f>VLOOKUP(D149,BasicSkills!$B$1:$E$55,3,FALSE)</f>
        <v>Support</v>
      </c>
      <c r="D149" s="1" t="s">
        <v>433</v>
      </c>
      <c r="E149" s="1" t="s">
        <v>1129</v>
      </c>
    </row>
    <row r="150" ht="14.25" customHeight="1">
      <c r="A150" s="1" t="s">
        <v>1130</v>
      </c>
      <c r="B150" s="1" t="str">
        <f>VLOOKUP(D150,BasicSkills!$B$1:$E$55,2,FALSE)</f>
        <v>INT</v>
      </c>
      <c r="C150" s="1" t="str">
        <f>VLOOKUP(D150,BasicSkills!$B$1:$E$55,3,FALSE)</f>
        <v>Support</v>
      </c>
      <c r="D150" s="1" t="s">
        <v>433</v>
      </c>
      <c r="E150" s="1" t="s">
        <v>1131</v>
      </c>
    </row>
    <row r="151" ht="14.25" customHeight="1">
      <c r="A151" s="1" t="s">
        <v>1132</v>
      </c>
      <c r="B151" s="1" t="str">
        <f>VLOOKUP(D151,BasicSkills!$B$1:$E$55,2,FALSE)</f>
        <v>INT</v>
      </c>
      <c r="C151" s="1" t="str">
        <f>VLOOKUP(D151,BasicSkills!$B$1:$E$55,3,FALSE)</f>
        <v>Support</v>
      </c>
      <c r="D151" s="1" t="s">
        <v>450</v>
      </c>
      <c r="E151" s="1" t="s">
        <v>1133</v>
      </c>
    </row>
    <row r="152" ht="14.25" customHeight="1">
      <c r="A152" s="1" t="s">
        <v>1134</v>
      </c>
      <c r="B152" s="1" t="str">
        <f>VLOOKUP(D152,BasicSkills!$B$1:$E$55,2,FALSE)</f>
        <v>INT</v>
      </c>
      <c r="C152" s="1" t="str">
        <f>VLOOKUP(D152,BasicSkills!$B$1:$E$55,3,FALSE)</f>
        <v>Support</v>
      </c>
      <c r="D152" s="1" t="s">
        <v>450</v>
      </c>
      <c r="E152" s="1" t="s">
        <v>1135</v>
      </c>
    </row>
    <row r="153" ht="14.25" customHeight="1">
      <c r="A153" s="1" t="s">
        <v>1136</v>
      </c>
      <c r="B153" s="1" t="str">
        <f>VLOOKUP(D153,BasicSkills!$B$1:$E$55,2,FALSE)</f>
        <v>STR</v>
      </c>
      <c r="C153" s="1" t="str">
        <f>VLOOKUP(D153,BasicSkills!$B$1:$E$55,3,FALSE)</f>
        <v>Support</v>
      </c>
      <c r="D153" s="1" t="s">
        <v>448</v>
      </c>
      <c r="E153" s="1" t="s">
        <v>1137</v>
      </c>
    </row>
    <row r="154" ht="14.25" customHeight="1">
      <c r="A154" s="1" t="s">
        <v>1138</v>
      </c>
      <c r="B154" s="1" t="str">
        <f>VLOOKUP(D154,BasicSkills!$B$1:$E$55,2,FALSE)</f>
        <v>STR</v>
      </c>
      <c r="C154" s="1" t="str">
        <f>VLOOKUP(D154,BasicSkills!$B$1:$E$55,3,FALSE)</f>
        <v>Support</v>
      </c>
      <c r="D154" s="1" t="s">
        <v>448</v>
      </c>
      <c r="E154" s="1" t="s">
        <v>1139</v>
      </c>
    </row>
    <row r="155" ht="14.25" customHeight="1">
      <c r="A155" s="1" t="s">
        <v>1140</v>
      </c>
      <c r="B155" s="1" t="str">
        <f>VLOOKUP(D155,BasicSkills!$B$1:$E$55,2,FALSE)</f>
        <v>WIL</v>
      </c>
      <c r="C155" s="1" t="str">
        <f>VLOOKUP(D155,BasicSkills!$B$1:$E$55,3,FALSE)</f>
        <v>Support</v>
      </c>
      <c r="D155" s="1" t="s">
        <v>437</v>
      </c>
      <c r="E155" s="1" t="s">
        <v>1141</v>
      </c>
    </row>
    <row r="156" ht="14.25" customHeight="1">
      <c r="A156" s="1" t="s">
        <v>1142</v>
      </c>
      <c r="B156" s="1" t="str">
        <f>VLOOKUP(D156,BasicSkills!$B$1:$E$55,2,FALSE)</f>
        <v>WIL</v>
      </c>
      <c r="C156" s="1" t="str">
        <f>VLOOKUP(D156,BasicSkills!$B$1:$E$55,3,FALSE)</f>
        <v>Support</v>
      </c>
      <c r="D156" s="1" t="s">
        <v>437</v>
      </c>
      <c r="E156" s="1" t="s">
        <v>1143</v>
      </c>
    </row>
    <row r="157" ht="14.25" customHeight="1">
      <c r="A157" s="1" t="s">
        <v>1144</v>
      </c>
      <c r="B157" s="1" t="str">
        <f>VLOOKUP(D157,BasicSkills!$B$1:$E$55,2,FALSE)</f>
        <v>STR</v>
      </c>
      <c r="C157" s="1" t="str">
        <f>VLOOKUP(D157,BasicSkills!$B$1:$E$55,3,FALSE)</f>
        <v>Support</v>
      </c>
      <c r="D157" s="1" t="s">
        <v>803</v>
      </c>
      <c r="E157" s="1" t="s">
        <v>1145</v>
      </c>
    </row>
    <row r="158" ht="14.25" customHeight="1">
      <c r="A158" s="1" t="s">
        <v>1146</v>
      </c>
      <c r="B158" s="1" t="str">
        <f>VLOOKUP(D158,BasicSkills!$B$1:$E$55,2,FALSE)</f>
        <v>STR</v>
      </c>
      <c r="C158" s="1" t="str">
        <f>VLOOKUP(D158,BasicSkills!$B$1:$E$55,3,FALSE)</f>
        <v>Support</v>
      </c>
      <c r="D158" s="1" t="s">
        <v>803</v>
      </c>
      <c r="E158" s="1" t="s">
        <v>1147</v>
      </c>
    </row>
    <row r="159" ht="14.25" customHeight="1">
      <c r="A159" s="1" t="s">
        <v>1148</v>
      </c>
      <c r="B159" s="1" t="str">
        <f>VLOOKUP(D159,BasicSkills!$B$1:$E$55,2,FALSE)</f>
        <v>STR</v>
      </c>
      <c r="C159" s="1" t="str">
        <f>VLOOKUP(D159,BasicSkills!$B$1:$E$55,3,FALSE)</f>
        <v>Support</v>
      </c>
      <c r="D159" s="1" t="s">
        <v>460</v>
      </c>
      <c r="E159" s="1" t="s">
        <v>1149</v>
      </c>
    </row>
    <row r="160" ht="14.25" customHeight="1">
      <c r="A160" s="1" t="s">
        <v>1150</v>
      </c>
      <c r="B160" s="1" t="str">
        <f>VLOOKUP(D160,BasicSkills!$B$1:$E$55,2,FALSE)</f>
        <v>STR</v>
      </c>
      <c r="C160" s="1" t="str">
        <f>VLOOKUP(D160,BasicSkills!$B$1:$E$55,3,FALSE)</f>
        <v>Support</v>
      </c>
      <c r="D160" s="1" t="s">
        <v>460</v>
      </c>
      <c r="E160" s="1" t="s">
        <v>1151</v>
      </c>
    </row>
    <row r="161" ht="14.25" customHeight="1">
      <c r="A161" s="1" t="s">
        <v>1152</v>
      </c>
      <c r="B161" s="1" t="str">
        <f>VLOOKUP(D161,BasicSkills!$B$1:$E$55,2,FALSE)</f>
        <v>STR</v>
      </c>
      <c r="C161" s="1" t="str">
        <f>VLOOKUP(D161,BasicSkills!$B$1:$E$55,3,FALSE)</f>
        <v>Support</v>
      </c>
      <c r="D161" s="1" t="s">
        <v>473</v>
      </c>
      <c r="E161" s="1" t="s">
        <v>1153</v>
      </c>
    </row>
    <row r="162" ht="14.25" customHeight="1">
      <c r="A162" s="1" t="s">
        <v>1154</v>
      </c>
      <c r="B162" s="1" t="str">
        <f>VLOOKUP(D162,BasicSkills!$B$1:$E$55,2,FALSE)</f>
        <v>STR</v>
      </c>
      <c r="C162" s="1" t="str">
        <f>VLOOKUP(D162,BasicSkills!$B$1:$E$55,3,FALSE)</f>
        <v>Support</v>
      </c>
      <c r="D162" s="1" t="s">
        <v>473</v>
      </c>
      <c r="E162" s="1" t="s">
        <v>1155</v>
      </c>
    </row>
    <row r="163" ht="14.25" customHeight="1">
      <c r="A163" s="1" t="s">
        <v>1156</v>
      </c>
      <c r="B163" s="1" t="str">
        <f>VLOOKUP(D163,BasicSkills!$B$1:$E$55,2,FALSE)</f>
        <v>STR</v>
      </c>
      <c r="C163" s="1" t="str">
        <f>VLOOKUP(D163,BasicSkills!$B$1:$E$55,3,FALSE)</f>
        <v>Support</v>
      </c>
      <c r="D163" s="1" t="s">
        <v>413</v>
      </c>
      <c r="E163" s="1" t="s">
        <v>1157</v>
      </c>
    </row>
    <row r="164" ht="14.25" customHeight="1">
      <c r="A164" s="1" t="s">
        <v>993</v>
      </c>
      <c r="B164" s="1" t="str">
        <f>VLOOKUP(D164,BasicSkills!$B$1:$E$55,2,FALSE)</f>
        <v>STR</v>
      </c>
      <c r="C164" s="1" t="str">
        <f>VLOOKUP(D164,BasicSkills!$B$1:$E$55,3,FALSE)</f>
        <v>Support</v>
      </c>
      <c r="D164" s="1" t="s">
        <v>413</v>
      </c>
      <c r="E164" s="1" t="s">
        <v>1158</v>
      </c>
    </row>
    <row r="165" ht="14.25" customHeight="1">
      <c r="A165" s="1" t="s">
        <v>1159</v>
      </c>
      <c r="B165" s="1" t="str">
        <f>VLOOKUP(D165,BasicSkills!$B$1:$E$55,2,FALSE)</f>
        <v>CAR</v>
      </c>
      <c r="C165" s="1" t="str">
        <f>VLOOKUP(D165,BasicSkills!$B$1:$E$55,3,FALSE)</f>
        <v>Core</v>
      </c>
      <c r="D165" s="1" t="s">
        <v>818</v>
      </c>
      <c r="E165" s="1" t="s">
        <v>1160</v>
      </c>
    </row>
    <row r="166" ht="14.25" customHeight="1">
      <c r="A166" s="1" t="s">
        <v>1161</v>
      </c>
      <c r="B166" s="1" t="str">
        <f>VLOOKUP(D166,BasicSkills!$B$1:$E$55,2,FALSE)</f>
        <v>CAR</v>
      </c>
      <c r="C166" s="1" t="str">
        <f>VLOOKUP(D166,BasicSkills!$B$1:$E$55,3,FALSE)</f>
        <v>Core</v>
      </c>
      <c r="D166" s="1" t="s">
        <v>818</v>
      </c>
      <c r="E166" s="1" t="s">
        <v>1162</v>
      </c>
    </row>
    <row r="167" ht="14.25" customHeight="1">
      <c r="A167" s="1" t="s">
        <v>1163</v>
      </c>
      <c r="B167" s="1" t="str">
        <f>VLOOKUP(D167,BasicSkills!$B$1:$E$55,2,FALSE)</f>
        <v>CAR</v>
      </c>
      <c r="C167" s="1" t="str">
        <f>VLOOKUP(D167,BasicSkills!$B$1:$E$55,3,FALSE)</f>
        <v>Core</v>
      </c>
      <c r="D167" s="1" t="s">
        <v>818</v>
      </c>
      <c r="E167" s="1" t="s">
        <v>1164</v>
      </c>
    </row>
    <row r="168" ht="14.25" customHeight="1">
      <c r="A168" s="1" t="s">
        <v>1165</v>
      </c>
      <c r="B168" s="1" t="str">
        <f>VLOOKUP(D168,BasicSkills!$B$1:$E$55,2,FALSE)</f>
        <v>CAR</v>
      </c>
      <c r="C168" s="1" t="str">
        <f>VLOOKUP(D168,BasicSkills!$B$1:$E$55,3,FALSE)</f>
        <v>Core</v>
      </c>
      <c r="D168" s="1" t="s">
        <v>818</v>
      </c>
      <c r="E168" s="1" t="s">
        <v>1166</v>
      </c>
    </row>
    <row r="169" ht="14.25" customHeight="1">
      <c r="A169" s="1" t="s">
        <v>1167</v>
      </c>
      <c r="B169" s="1" t="str">
        <f>VLOOKUP(D169,BasicSkills!$B$1:$E$55,2,FALSE)</f>
        <v>CAR</v>
      </c>
      <c r="C169" s="1" t="str">
        <f>VLOOKUP(D169,BasicSkills!$B$1:$E$55,3,FALSE)</f>
        <v>Core</v>
      </c>
      <c r="D169" s="1" t="s">
        <v>818</v>
      </c>
      <c r="E169" s="1" t="s">
        <v>1168</v>
      </c>
    </row>
    <row r="170" ht="14.25" customHeight="1">
      <c r="A170" s="1" t="s">
        <v>1169</v>
      </c>
      <c r="B170" s="1" t="str">
        <f>VLOOKUP(D170,BasicSkills!$B$1:$E$55,2,FALSE)</f>
        <v>CAR</v>
      </c>
      <c r="C170" s="1" t="str">
        <f>VLOOKUP(D170,BasicSkills!$B$1:$E$55,3,FALSE)</f>
        <v>Core</v>
      </c>
      <c r="D170" s="1" t="s">
        <v>818</v>
      </c>
      <c r="E170" s="1" t="s">
        <v>1170</v>
      </c>
    </row>
    <row r="171" ht="14.25" customHeight="1">
      <c r="A171" s="1" t="s">
        <v>1171</v>
      </c>
      <c r="B171" s="1" t="str">
        <f>VLOOKUP(D171,BasicSkills!$B$1:$E$55,2,FALSE)</f>
        <v>WIL</v>
      </c>
      <c r="C171" s="1" t="str">
        <f>VLOOKUP(D171,BasicSkills!$B$1:$E$55,3,FALSE)</f>
        <v>Support</v>
      </c>
      <c r="D171" s="1" t="s">
        <v>454</v>
      </c>
      <c r="E171" s="1" t="s">
        <v>1172</v>
      </c>
    </row>
    <row r="172" ht="14.25" customHeight="1">
      <c r="A172" s="1" t="s">
        <v>1173</v>
      </c>
      <c r="B172" s="1" t="str">
        <f>VLOOKUP(D172,BasicSkills!$B$1:$E$55,2,FALSE)</f>
        <v>WIL</v>
      </c>
      <c r="C172" s="1" t="str">
        <f>VLOOKUP(D172,BasicSkills!$B$1:$E$55,3,FALSE)</f>
        <v>Support</v>
      </c>
      <c r="D172" s="1" t="s">
        <v>454</v>
      </c>
      <c r="E172" s="1" t="s">
        <v>1174</v>
      </c>
    </row>
    <row r="173" ht="14.25" customHeight="1">
      <c r="A173" s="1" t="s">
        <v>1175</v>
      </c>
      <c r="B173" s="1" t="str">
        <f>VLOOKUP(D173,BasicSkills!$B$1:$E$55,2,FALSE)</f>
        <v>WIL</v>
      </c>
      <c r="C173" s="1" t="str">
        <f>VLOOKUP(D173,BasicSkills!$B$1:$E$55,3,FALSE)</f>
        <v>Support</v>
      </c>
      <c r="D173" s="1" t="s">
        <v>472</v>
      </c>
      <c r="E173" s="1" t="s">
        <v>1176</v>
      </c>
    </row>
    <row r="174" ht="14.25" customHeight="1">
      <c r="A174" s="1" t="s">
        <v>1177</v>
      </c>
      <c r="B174" s="1" t="str">
        <f>VLOOKUP(D174,BasicSkills!$B$1:$E$55,2,FALSE)</f>
        <v>WIL</v>
      </c>
      <c r="C174" s="1" t="str">
        <f>VLOOKUP(D174,BasicSkills!$B$1:$E$55,3,FALSE)</f>
        <v>Support</v>
      </c>
      <c r="D174" s="1" t="s">
        <v>472</v>
      </c>
      <c r="E174" s="1" t="s">
        <v>1178</v>
      </c>
    </row>
    <row r="175" ht="14.25" customHeight="1">
      <c r="A175" s="1" t="s">
        <v>1179</v>
      </c>
      <c r="B175" s="1" t="str">
        <f>VLOOKUP(D175,BasicSkills!$B$1:$E$55,2,FALSE)</f>
        <v>WIL</v>
      </c>
      <c r="C175" s="1" t="str">
        <f>VLOOKUP(D175,BasicSkills!$B$1:$E$55,3,FALSE)</f>
        <v>Core</v>
      </c>
      <c r="D175" s="1" t="s">
        <v>470</v>
      </c>
      <c r="E175" s="1" t="s">
        <v>1180</v>
      </c>
    </row>
    <row r="176" ht="14.25" customHeight="1">
      <c r="A176" s="1" t="s">
        <v>1181</v>
      </c>
      <c r="B176" s="1" t="str">
        <f>VLOOKUP(D176,BasicSkills!$B$1:$E$55,2,FALSE)</f>
        <v>WIL</v>
      </c>
      <c r="C176" s="1" t="str">
        <f>VLOOKUP(D176,BasicSkills!$B$1:$E$55,3,FALSE)</f>
        <v>Core</v>
      </c>
      <c r="D176" s="1" t="s">
        <v>470</v>
      </c>
      <c r="E176" s="1" t="s">
        <v>1182</v>
      </c>
    </row>
    <row r="177" ht="14.25" customHeight="1">
      <c r="A177" s="1" t="s">
        <v>1183</v>
      </c>
      <c r="B177" s="1" t="str">
        <f>VLOOKUP(D177,BasicSkills!$B$1:$E$55,2,FALSE)</f>
        <v>WIL</v>
      </c>
      <c r="C177" s="1" t="str">
        <f>VLOOKUP(D177,BasicSkills!$B$1:$E$55,3,FALSE)</f>
        <v>Core</v>
      </c>
      <c r="D177" s="1" t="s">
        <v>470</v>
      </c>
      <c r="E177" s="1" t="s">
        <v>831</v>
      </c>
    </row>
    <row r="178" ht="14.25" customHeight="1">
      <c r="A178" s="1" t="s">
        <v>1184</v>
      </c>
      <c r="B178" s="1" t="str">
        <f>VLOOKUP(D178,BasicSkills!$B$1:$E$55,2,FALSE)</f>
        <v>WIL</v>
      </c>
      <c r="C178" s="1" t="str">
        <f>VLOOKUP(D178,BasicSkills!$B$1:$E$55,3,FALSE)</f>
        <v>Core</v>
      </c>
      <c r="D178" s="1" t="s">
        <v>406</v>
      </c>
      <c r="E178" s="1" t="s">
        <v>1185</v>
      </c>
    </row>
    <row r="179" ht="14.25" customHeight="1">
      <c r="A179" s="1" t="s">
        <v>1186</v>
      </c>
      <c r="B179" s="1" t="str">
        <f>VLOOKUP(D179,BasicSkills!$B$1:$E$55,2,FALSE)</f>
        <v>WIL</v>
      </c>
      <c r="C179" s="1" t="str">
        <f>VLOOKUP(D179,BasicSkills!$B$1:$E$55,3,FALSE)</f>
        <v>Core</v>
      </c>
      <c r="D179" s="1" t="s">
        <v>406</v>
      </c>
      <c r="E179" s="1" t="s">
        <v>1187</v>
      </c>
    </row>
    <row r="180" ht="14.25" customHeight="1">
      <c r="A180" s="1" t="s">
        <v>1188</v>
      </c>
      <c r="B180" s="1" t="str">
        <f>VLOOKUP(D180,BasicSkills!$B$1:$E$55,2,FALSE)</f>
        <v>WIL</v>
      </c>
      <c r="C180" s="1" t="str">
        <f>VLOOKUP(D180,BasicSkills!$B$1:$E$55,3,FALSE)</f>
        <v>Support</v>
      </c>
      <c r="D180" s="1" t="s">
        <v>476</v>
      </c>
      <c r="E180" s="1" t="s">
        <v>1189</v>
      </c>
    </row>
    <row r="181" ht="14.25" customHeight="1">
      <c r="A181" s="1" t="s">
        <v>1190</v>
      </c>
      <c r="B181" s="1" t="str">
        <f>VLOOKUP(D181,BasicSkills!$B$1:$E$55,2,FALSE)</f>
        <v>WIL</v>
      </c>
      <c r="C181" s="1" t="str">
        <f>VLOOKUP(D181,BasicSkills!$B$1:$E$55,3,FALSE)</f>
        <v>Support</v>
      </c>
      <c r="D181" s="1" t="s">
        <v>476</v>
      </c>
      <c r="E181" s="1" t="s">
        <v>1191</v>
      </c>
    </row>
    <row r="182" ht="14.25" customHeight="1"/>
    <row r="183" ht="14.25" customHeight="1">
      <c r="A183" s="1" t="s">
        <v>0</v>
      </c>
    </row>
    <row r="184" ht="14.25" customHeight="1">
      <c r="A184" s="1" t="s">
        <v>0</v>
      </c>
    </row>
    <row r="185" ht="14.25" customHeight="1">
      <c r="A185" s="1" t="s">
        <v>0</v>
      </c>
    </row>
    <row r="186" ht="14.25" customHeight="1">
      <c r="A186" s="1" t="s">
        <v>0</v>
      </c>
    </row>
    <row r="187" ht="14.25" customHeight="1">
      <c r="A187" s="1" t="s">
        <v>0</v>
      </c>
    </row>
    <row r="188" ht="14.25" customHeight="1">
      <c r="A188" s="1" t="s">
        <v>0</v>
      </c>
    </row>
    <row r="189" ht="14.25" customHeight="1">
      <c r="A189" s="1" t="s">
        <v>0</v>
      </c>
    </row>
    <row r="190" ht="14.25" customHeight="1">
      <c r="A190" s="1" t="s">
        <v>0</v>
      </c>
    </row>
    <row r="191" ht="14.25" customHeight="1">
      <c r="A191" s="1" t="s">
        <v>0</v>
      </c>
    </row>
    <row r="192" ht="14.25" customHeight="1">
      <c r="A192" s="1" t="s">
        <v>0</v>
      </c>
    </row>
    <row r="193" ht="14.25" customHeight="1">
      <c r="A193" s="1" t="s">
        <v>0</v>
      </c>
    </row>
    <row r="194" ht="14.25" customHeight="1">
      <c r="A194" s="1" t="s">
        <v>0</v>
      </c>
    </row>
    <row r="195" ht="14.25" customHeight="1">
      <c r="A195" s="1" t="s">
        <v>0</v>
      </c>
    </row>
    <row r="196" ht="14.25" customHeight="1">
      <c r="A196" s="1" t="s">
        <v>0</v>
      </c>
    </row>
    <row r="197" ht="14.25" customHeight="1">
      <c r="A197" s="1" t="s">
        <v>0</v>
      </c>
    </row>
    <row r="198" ht="14.25" customHeight="1">
      <c r="A198" s="1" t="s">
        <v>0</v>
      </c>
    </row>
    <row r="199" ht="14.25" customHeight="1">
      <c r="A199" s="1" t="s">
        <v>0</v>
      </c>
    </row>
    <row r="200" ht="14.25" customHeight="1">
      <c r="A200" s="1" t="s">
        <v>0</v>
      </c>
    </row>
    <row r="201" ht="14.25" customHeight="1">
      <c r="A201" s="1" t="s">
        <v>0</v>
      </c>
    </row>
    <row r="202" ht="14.25" customHeight="1">
      <c r="A202" s="1" t="s">
        <v>0</v>
      </c>
    </row>
    <row r="203" ht="14.25" customHeight="1">
      <c r="A203" s="1" t="s">
        <v>0</v>
      </c>
    </row>
    <row r="204" ht="14.25" customHeight="1">
      <c r="A204" s="1" t="s">
        <v>0</v>
      </c>
    </row>
    <row r="205" ht="14.25" customHeight="1">
      <c r="A205" s="1" t="s">
        <v>0</v>
      </c>
    </row>
    <row r="206" ht="14.25" customHeight="1">
      <c r="A206" s="1" t="s">
        <v>0</v>
      </c>
    </row>
    <row r="207" ht="14.25" customHeight="1">
      <c r="A207" s="1" t="s">
        <v>0</v>
      </c>
    </row>
    <row r="208" ht="14.25" customHeight="1">
      <c r="A208" s="1" t="s">
        <v>0</v>
      </c>
    </row>
    <row r="209" ht="14.25" customHeight="1">
      <c r="A209" s="1" t="s">
        <v>0</v>
      </c>
    </row>
    <row r="210" ht="14.25" customHeight="1">
      <c r="A210" s="1" t="s">
        <v>0</v>
      </c>
    </row>
    <row r="211" ht="14.25" customHeight="1">
      <c r="A211" s="1" t="s">
        <v>0</v>
      </c>
    </row>
    <row r="212" ht="14.25" customHeight="1">
      <c r="A212" s="1" t="s">
        <v>0</v>
      </c>
    </row>
    <row r="213" ht="14.25" customHeight="1">
      <c r="A213" s="1" t="s">
        <v>0</v>
      </c>
    </row>
    <row r="214" ht="14.25" customHeight="1">
      <c r="A214" s="1" t="s">
        <v>0</v>
      </c>
    </row>
    <row r="215" ht="14.25" customHeight="1">
      <c r="A215" s="1" t="s">
        <v>0</v>
      </c>
    </row>
    <row r="216" ht="14.25" customHeight="1">
      <c r="A216" s="1" t="s">
        <v>0</v>
      </c>
    </row>
    <row r="217" ht="14.25" customHeight="1">
      <c r="A217" s="1" t="s">
        <v>0</v>
      </c>
    </row>
    <row r="218" ht="14.25" customHeight="1">
      <c r="A218" s="1" t="s">
        <v>0</v>
      </c>
    </row>
    <row r="219" ht="14.25" customHeight="1">
      <c r="A219" s="1" t="s">
        <v>0</v>
      </c>
    </row>
    <row r="220" ht="14.25" customHeight="1">
      <c r="A220" s="1" t="s">
        <v>0</v>
      </c>
    </row>
    <row r="221" ht="14.25" customHeight="1">
      <c r="A221" s="1" t="s">
        <v>0</v>
      </c>
    </row>
    <row r="222" ht="14.25" customHeight="1">
      <c r="A222" s="1" t="s">
        <v>0</v>
      </c>
    </row>
    <row r="223" ht="14.25" customHeight="1">
      <c r="A223" s="1" t="s">
        <v>0</v>
      </c>
    </row>
    <row r="224" ht="14.25" customHeight="1">
      <c r="A224" s="1" t="s">
        <v>0</v>
      </c>
    </row>
    <row r="225" ht="14.25" customHeight="1">
      <c r="A225" s="1" t="s">
        <v>0</v>
      </c>
    </row>
    <row r="226" ht="14.25" customHeight="1">
      <c r="A226" s="1" t="s">
        <v>0</v>
      </c>
    </row>
    <row r="227" ht="14.25" customHeight="1">
      <c r="A227" s="1" t="s">
        <v>0</v>
      </c>
    </row>
    <row r="228" ht="14.25" customHeight="1">
      <c r="A228" s="1" t="s">
        <v>0</v>
      </c>
    </row>
    <row r="229" ht="14.25" customHeight="1">
      <c r="A229" s="1" t="s">
        <v>0</v>
      </c>
    </row>
    <row r="230" ht="14.25" customHeight="1">
      <c r="A230" s="1" t="s">
        <v>0</v>
      </c>
    </row>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1192</v>
      </c>
      <c r="B1" s="1" t="s">
        <v>455</v>
      </c>
      <c r="C1" s="1" t="s">
        <v>213</v>
      </c>
    </row>
    <row r="2" ht="14.25" customHeight="1">
      <c r="A2" s="1" t="s">
        <v>1192</v>
      </c>
      <c r="B2" s="1" t="s">
        <v>441</v>
      </c>
      <c r="C2" s="1" t="s">
        <v>160</v>
      </c>
    </row>
    <row r="3" ht="14.25" customHeight="1">
      <c r="A3" s="1" t="s">
        <v>1192</v>
      </c>
      <c r="B3" s="1" t="s">
        <v>449</v>
      </c>
      <c r="C3" s="1" t="s">
        <v>160</v>
      </c>
    </row>
    <row r="4" ht="14.25" customHeight="1">
      <c r="A4" s="1" t="s">
        <v>1193</v>
      </c>
      <c r="B4" s="1" t="s">
        <v>440</v>
      </c>
      <c r="C4" s="1" t="s">
        <v>213</v>
      </c>
    </row>
    <row r="5" ht="14.25" customHeight="1">
      <c r="A5" s="1" t="s">
        <v>1193</v>
      </c>
      <c r="B5" s="1" t="s">
        <v>436</v>
      </c>
      <c r="C5" s="1" t="s">
        <v>160</v>
      </c>
    </row>
    <row r="6" ht="14.25" customHeight="1">
      <c r="A6" s="1" t="s">
        <v>1193</v>
      </c>
      <c r="B6" s="1" t="s">
        <v>473</v>
      </c>
      <c r="C6" s="1" t="s">
        <v>256</v>
      </c>
    </row>
    <row r="7" ht="14.25" customHeight="1">
      <c r="A7" s="1" t="s">
        <v>445</v>
      </c>
      <c r="B7" s="1" t="s">
        <v>419</v>
      </c>
      <c r="C7" s="1" t="s">
        <v>14</v>
      </c>
    </row>
    <row r="8" ht="14.25" customHeight="1">
      <c r="A8" s="1" t="s">
        <v>445</v>
      </c>
      <c r="B8" s="1" t="s">
        <v>446</v>
      </c>
      <c r="C8" s="1" t="s">
        <v>81</v>
      </c>
    </row>
    <row r="9" ht="14.25" customHeight="1">
      <c r="A9" s="1" t="s">
        <v>445</v>
      </c>
      <c r="B9" s="1" t="s">
        <v>509</v>
      </c>
      <c r="C9" s="1" t="s">
        <v>256</v>
      </c>
    </row>
    <row r="10" ht="14.25" customHeight="1">
      <c r="A10" s="1" t="s">
        <v>445</v>
      </c>
      <c r="B10" s="1" t="s">
        <v>417</v>
      </c>
      <c r="C10" s="1" t="s">
        <v>14</v>
      </c>
    </row>
    <row r="11" ht="14.25" customHeight="1">
      <c r="A11" s="1" t="s">
        <v>445</v>
      </c>
      <c r="B11" s="1" t="s">
        <v>408</v>
      </c>
      <c r="C11" s="1" t="s">
        <v>42</v>
      </c>
    </row>
    <row r="12" ht="14.25" customHeight="1">
      <c r="A12" s="1" t="s">
        <v>401</v>
      </c>
      <c r="B12" s="1" t="s">
        <v>404</v>
      </c>
      <c r="C12" s="1" t="s">
        <v>42</v>
      </c>
    </row>
    <row r="13" ht="14.25" customHeight="1">
      <c r="A13" s="1" t="s">
        <v>401</v>
      </c>
      <c r="B13" s="1" t="s">
        <v>402</v>
      </c>
      <c r="C13" s="1" t="s">
        <v>42</v>
      </c>
    </row>
    <row r="14" ht="14.25" customHeight="1">
      <c r="A14" s="1" t="s">
        <v>401</v>
      </c>
      <c r="B14" s="1" t="s">
        <v>409</v>
      </c>
      <c r="C14" s="1" t="s">
        <v>81</v>
      </c>
    </row>
    <row r="15" ht="14.25" customHeight="1">
      <c r="A15" s="1" t="s">
        <v>401</v>
      </c>
      <c r="B15" s="1" t="s">
        <v>413</v>
      </c>
      <c r="C15" s="1" t="s">
        <v>256</v>
      </c>
    </row>
    <row r="16" ht="14.25" customHeight="1">
      <c r="A16" s="1" t="s">
        <v>401</v>
      </c>
      <c r="B16" s="1" t="s">
        <v>406</v>
      </c>
      <c r="C16" s="1" t="s">
        <v>81</v>
      </c>
    </row>
    <row r="17" ht="14.25" customHeight="1">
      <c r="A17" s="1" t="s">
        <v>1194</v>
      </c>
      <c r="B17" s="1" t="s">
        <v>437</v>
      </c>
      <c r="C17" s="1" t="s">
        <v>81</v>
      </c>
    </row>
    <row r="18" ht="14.25" customHeight="1">
      <c r="A18" s="1" t="s">
        <v>1194</v>
      </c>
      <c r="B18" s="1" t="s">
        <v>410</v>
      </c>
      <c r="C18" s="1" t="s">
        <v>42</v>
      </c>
    </row>
    <row r="19" ht="14.25" customHeight="1">
      <c r="A19" s="1" t="s">
        <v>1194</v>
      </c>
      <c r="B19" s="1" t="s">
        <v>457</v>
      </c>
      <c r="C19" s="1" t="s">
        <v>256</v>
      </c>
    </row>
    <row r="20" ht="14.25" customHeight="1">
      <c r="A20" s="1" t="s">
        <v>466</v>
      </c>
      <c r="B20" s="1" t="s">
        <v>418</v>
      </c>
      <c r="C20" s="1" t="s">
        <v>14</v>
      </c>
    </row>
    <row r="21" ht="14.25" customHeight="1">
      <c r="A21" s="1" t="s">
        <v>466</v>
      </c>
      <c r="B21" s="1" t="s">
        <v>472</v>
      </c>
      <c r="C21" s="1" t="s">
        <v>81</v>
      </c>
    </row>
    <row r="22" ht="14.25" customHeight="1">
      <c r="A22" s="1" t="s">
        <v>466</v>
      </c>
      <c r="B22" s="1" t="s">
        <v>469</v>
      </c>
      <c r="C22" s="1" t="s">
        <v>42</v>
      </c>
    </row>
    <row r="23" ht="14.25" customHeight="1">
      <c r="A23" s="1" t="s">
        <v>466</v>
      </c>
      <c r="B23" s="1" t="s">
        <v>467</v>
      </c>
      <c r="C23" s="1" t="s">
        <v>14</v>
      </c>
    </row>
    <row r="24" ht="14.25" customHeight="1">
      <c r="A24" s="1" t="s">
        <v>466</v>
      </c>
      <c r="B24" s="1" t="s">
        <v>413</v>
      </c>
      <c r="C24" s="1" t="s">
        <v>256</v>
      </c>
    </row>
    <row r="25" ht="14.25" customHeight="1">
      <c r="A25" s="1" t="s">
        <v>1195</v>
      </c>
      <c r="B25" s="1" t="s">
        <v>455</v>
      </c>
      <c r="C25" s="1" t="s">
        <v>213</v>
      </c>
    </row>
    <row r="26" ht="14.25" customHeight="1">
      <c r="A26" s="1" t="s">
        <v>1195</v>
      </c>
      <c r="B26" s="1" t="s">
        <v>430</v>
      </c>
      <c r="C26" s="1" t="s">
        <v>160</v>
      </c>
    </row>
    <row r="27" ht="14.25" customHeight="1">
      <c r="A27" s="1" t="s">
        <v>1195</v>
      </c>
      <c r="B27" s="1" t="s">
        <v>450</v>
      </c>
      <c r="C27" s="1" t="s">
        <v>160</v>
      </c>
    </row>
    <row r="28" ht="14.25" customHeight="1">
      <c r="A28" s="1" t="s">
        <v>423</v>
      </c>
      <c r="B28" s="1" t="s">
        <v>431</v>
      </c>
      <c r="C28" s="1" t="s">
        <v>213</v>
      </c>
    </row>
    <row r="29" ht="14.25" customHeight="1">
      <c r="A29" s="1" t="s">
        <v>423</v>
      </c>
      <c r="B29" s="1" t="s">
        <v>410</v>
      </c>
      <c r="C29" s="1" t="s">
        <v>42</v>
      </c>
    </row>
    <row r="30" ht="14.25" customHeight="1">
      <c r="A30" s="1" t="s">
        <v>423</v>
      </c>
      <c r="B30" s="1" t="s">
        <v>428</v>
      </c>
      <c r="C30" s="1" t="s">
        <v>256</v>
      </c>
    </row>
    <row r="31" ht="14.25" customHeight="1">
      <c r="A31" s="1" t="s">
        <v>423</v>
      </c>
      <c r="B31" s="1" t="s">
        <v>424</v>
      </c>
      <c r="C31" s="1" t="s">
        <v>213</v>
      </c>
    </row>
    <row r="32" ht="14.25" customHeight="1">
      <c r="A32" s="1" t="s">
        <v>423</v>
      </c>
      <c r="B32" s="1" t="s">
        <v>432</v>
      </c>
      <c r="C32" s="1" t="s">
        <v>160</v>
      </c>
    </row>
    <row r="33" ht="14.25" customHeight="1">
      <c r="A33" s="1" t="s">
        <v>1196</v>
      </c>
      <c r="B33" s="1" t="s">
        <v>418</v>
      </c>
      <c r="C33" s="1" t="s">
        <v>14</v>
      </c>
    </row>
    <row r="34" ht="14.25" customHeight="1">
      <c r="A34" s="1" t="s">
        <v>1196</v>
      </c>
      <c r="B34" s="1" t="s">
        <v>454</v>
      </c>
      <c r="C34" s="1" t="s">
        <v>81</v>
      </c>
    </row>
    <row r="35" ht="14.25" customHeight="1">
      <c r="A35" s="1" t="s">
        <v>1196</v>
      </c>
      <c r="B35" s="1" t="s">
        <v>473</v>
      </c>
      <c r="C35" s="1" t="s">
        <v>256</v>
      </c>
    </row>
    <row r="36" ht="14.25" customHeight="1">
      <c r="A36" s="1" t="s">
        <v>1197</v>
      </c>
      <c r="B36" s="1" t="s">
        <v>419</v>
      </c>
      <c r="C36" s="1" t="s">
        <v>14</v>
      </c>
    </row>
    <row r="37" ht="14.25" customHeight="1">
      <c r="A37" s="1" t="s">
        <v>1197</v>
      </c>
      <c r="B37" s="1" t="s">
        <v>411</v>
      </c>
      <c r="C37" s="1" t="s">
        <v>42</v>
      </c>
    </row>
    <row r="38" ht="14.25" customHeight="1">
      <c r="A38" s="1" t="s">
        <v>1197</v>
      </c>
      <c r="B38" s="1" t="s">
        <v>458</v>
      </c>
      <c r="C38" s="1" t="s">
        <v>213</v>
      </c>
    </row>
    <row r="39" ht="14.25" customHeight="1">
      <c r="A39" s="1" t="s">
        <v>1198</v>
      </c>
      <c r="B39" s="1" t="s">
        <v>461</v>
      </c>
      <c r="C39" s="1" t="s">
        <v>213</v>
      </c>
    </row>
    <row r="40" ht="14.25" customHeight="1">
      <c r="A40" s="1" t="s">
        <v>1198</v>
      </c>
      <c r="B40" s="1" t="s">
        <v>432</v>
      </c>
      <c r="C40" s="1" t="s">
        <v>160</v>
      </c>
    </row>
    <row r="41" ht="14.25" customHeight="1">
      <c r="A41" s="1" t="s">
        <v>1198</v>
      </c>
      <c r="B41" s="1" t="s">
        <v>475</v>
      </c>
      <c r="C41" s="1" t="s">
        <v>81</v>
      </c>
    </row>
    <row r="42" ht="14.25" customHeight="1">
      <c r="A42" s="1" t="s">
        <v>1199</v>
      </c>
      <c r="B42" s="1" t="s">
        <v>433</v>
      </c>
      <c r="C42" s="1" t="s">
        <v>160</v>
      </c>
    </row>
    <row r="43" ht="14.25" customHeight="1">
      <c r="A43" s="1" t="s">
        <v>1199</v>
      </c>
      <c r="B43" s="1" t="s">
        <v>414</v>
      </c>
      <c r="C43" s="1" t="s">
        <v>81</v>
      </c>
    </row>
    <row r="44" ht="14.25" customHeight="1">
      <c r="A44" s="1" t="s">
        <v>1199</v>
      </c>
      <c r="B44" s="1" t="s">
        <v>455</v>
      </c>
      <c r="C44" s="1" t="s">
        <v>213</v>
      </c>
    </row>
    <row r="45" ht="14.25" customHeight="1">
      <c r="A45" s="1" t="s">
        <v>1200</v>
      </c>
      <c r="B45" s="1" t="s">
        <v>416</v>
      </c>
      <c r="C45" s="1" t="s">
        <v>14</v>
      </c>
    </row>
    <row r="46" ht="14.25" customHeight="1">
      <c r="A46" s="1" t="s">
        <v>1200</v>
      </c>
      <c r="B46" s="1" t="s">
        <v>408</v>
      </c>
      <c r="C46" s="1" t="s">
        <v>42</v>
      </c>
    </row>
    <row r="47" ht="14.25" customHeight="1">
      <c r="A47" s="1" t="s">
        <v>1200</v>
      </c>
      <c r="B47" s="1" t="s">
        <v>459</v>
      </c>
      <c r="C47" s="1" t="s">
        <v>213</v>
      </c>
    </row>
    <row r="48" ht="14.25" customHeight="1">
      <c r="A48" s="1" t="s">
        <v>442</v>
      </c>
      <c r="B48" s="1" t="s">
        <v>443</v>
      </c>
      <c r="C48" s="1" t="s">
        <v>160</v>
      </c>
    </row>
    <row r="49" ht="14.25" customHeight="1">
      <c r="A49" s="1" t="s">
        <v>442</v>
      </c>
      <c r="B49" s="1" t="s">
        <v>430</v>
      </c>
      <c r="C49" s="1" t="s">
        <v>160</v>
      </c>
    </row>
    <row r="50" ht="14.25" customHeight="1">
      <c r="A50" s="1" t="s">
        <v>442</v>
      </c>
      <c r="B50" s="1" t="s">
        <v>446</v>
      </c>
      <c r="C50" s="1" t="s">
        <v>213</v>
      </c>
    </row>
    <row r="51" ht="14.25" customHeight="1">
      <c r="A51" s="1" t="s">
        <v>442</v>
      </c>
      <c r="B51" s="1" t="s">
        <v>456</v>
      </c>
      <c r="C51" s="1" t="s">
        <v>81</v>
      </c>
    </row>
    <row r="52" ht="14.25" customHeight="1">
      <c r="A52" s="1" t="s">
        <v>442</v>
      </c>
      <c r="B52" s="1" t="s">
        <v>453</v>
      </c>
      <c r="C52" s="1" t="s">
        <v>213</v>
      </c>
    </row>
    <row r="53" ht="14.25" customHeight="1">
      <c r="A53" s="1" t="s">
        <v>1201</v>
      </c>
      <c r="B53" s="1" t="s">
        <v>412</v>
      </c>
      <c r="C53" s="1" t="s">
        <v>213</v>
      </c>
    </row>
    <row r="54" ht="14.25" customHeight="1">
      <c r="A54" s="1" t="s">
        <v>1201</v>
      </c>
      <c r="B54" s="1" t="s">
        <v>460</v>
      </c>
      <c r="C54" s="1" t="s">
        <v>256</v>
      </c>
    </row>
    <row r="55" ht="14.25" customHeight="1">
      <c r="A55" s="1" t="s">
        <v>1201</v>
      </c>
      <c r="B55" s="1" t="s">
        <v>414</v>
      </c>
      <c r="C55" s="1" t="s">
        <v>81</v>
      </c>
    </row>
    <row r="56" ht="14.25" customHeight="1">
      <c r="A56" s="1" t="s">
        <v>1202</v>
      </c>
      <c r="B56" s="1" t="s">
        <v>440</v>
      </c>
      <c r="C56" s="1" t="s">
        <v>213</v>
      </c>
    </row>
    <row r="57" ht="14.25" customHeight="1">
      <c r="A57" s="1" t="s">
        <v>1202</v>
      </c>
      <c r="B57" s="1" t="s">
        <v>426</v>
      </c>
      <c r="C57" s="1" t="s">
        <v>14</v>
      </c>
    </row>
    <row r="58" ht="14.25" customHeight="1">
      <c r="A58" s="1" t="s">
        <v>1202</v>
      </c>
      <c r="B58" s="1" t="s">
        <v>476</v>
      </c>
      <c r="C58" s="1" t="s">
        <v>81</v>
      </c>
    </row>
    <row r="59" ht="14.25" customHeight="1">
      <c r="A59" s="1" t="s">
        <v>1203</v>
      </c>
      <c r="B59" s="1" t="s">
        <v>433</v>
      </c>
      <c r="C59" s="1" t="s">
        <v>160</v>
      </c>
    </row>
    <row r="60" ht="14.25" customHeight="1">
      <c r="A60" s="1" t="s">
        <v>1203</v>
      </c>
      <c r="B60" s="1" t="s">
        <v>417</v>
      </c>
      <c r="C60" s="1" t="s">
        <v>14</v>
      </c>
    </row>
    <row r="61" ht="14.25" customHeight="1">
      <c r="A61" s="1" t="s">
        <v>1203</v>
      </c>
      <c r="B61" s="1" t="s">
        <v>459</v>
      </c>
      <c r="C61" s="1" t="s">
        <v>213</v>
      </c>
    </row>
    <row r="62" ht="14.25" customHeight="1">
      <c r="A62" s="1" t="s">
        <v>1204</v>
      </c>
      <c r="B62" s="1" t="s">
        <v>434</v>
      </c>
      <c r="C62" s="1" t="s">
        <v>160</v>
      </c>
    </row>
    <row r="63" ht="14.25" customHeight="1">
      <c r="A63" s="1" t="s">
        <v>1204</v>
      </c>
      <c r="B63" s="1" t="s">
        <v>438</v>
      </c>
      <c r="C63" s="1" t="s">
        <v>160</v>
      </c>
    </row>
    <row r="64" ht="14.25" customHeight="1">
      <c r="A64" s="1" t="s">
        <v>1204</v>
      </c>
      <c r="B64" s="1" t="s">
        <v>453</v>
      </c>
      <c r="C64" s="1" t="s">
        <v>213</v>
      </c>
    </row>
    <row r="65" ht="14.25" customHeight="1">
      <c r="A65" s="1" t="s">
        <v>1205</v>
      </c>
      <c r="B65" s="1" t="s">
        <v>426</v>
      </c>
      <c r="C65" s="1" t="s">
        <v>14</v>
      </c>
    </row>
    <row r="66" ht="14.25" customHeight="1">
      <c r="A66" s="1" t="s">
        <v>1205</v>
      </c>
      <c r="B66" s="1" t="s">
        <v>472</v>
      </c>
      <c r="C66" s="1" t="s">
        <v>81</v>
      </c>
    </row>
    <row r="67" ht="14.25" customHeight="1">
      <c r="A67" s="1" t="s">
        <v>1205</v>
      </c>
      <c r="B67" s="1" t="s">
        <v>439</v>
      </c>
      <c r="C67" s="1" t="s">
        <v>160</v>
      </c>
    </row>
    <row r="68" ht="14.25" customHeight="1">
      <c r="A68" s="1" t="s">
        <v>463</v>
      </c>
      <c r="B68" s="1" t="s">
        <v>472</v>
      </c>
      <c r="C68" s="1" t="s">
        <v>81</v>
      </c>
    </row>
    <row r="69" ht="14.25" customHeight="1">
      <c r="A69" s="1" t="s">
        <v>463</v>
      </c>
      <c r="B69" s="1" t="s">
        <v>464</v>
      </c>
      <c r="C69" s="1" t="s">
        <v>14</v>
      </c>
    </row>
    <row r="70" ht="14.25" customHeight="1">
      <c r="A70" s="1" t="s">
        <v>463</v>
      </c>
      <c r="B70" s="1" t="s">
        <v>441</v>
      </c>
      <c r="C70" s="1" t="s">
        <v>160</v>
      </c>
    </row>
    <row r="71" ht="14.25" customHeight="1">
      <c r="A71" s="1" t="s">
        <v>463</v>
      </c>
      <c r="B71" s="1" t="s">
        <v>470</v>
      </c>
      <c r="C71" s="1" t="s">
        <v>81</v>
      </c>
    </row>
    <row r="72" ht="14.25" customHeight="1">
      <c r="A72" s="1" t="s">
        <v>463</v>
      </c>
      <c r="B72" s="1" t="s">
        <v>415</v>
      </c>
      <c r="C72" s="1" t="s">
        <v>14</v>
      </c>
    </row>
    <row r="73" ht="14.25" customHeight="1">
      <c r="A73" s="1" t="s">
        <v>420</v>
      </c>
      <c r="B73" s="1" t="s">
        <v>431</v>
      </c>
      <c r="C73" s="1" t="s">
        <v>213</v>
      </c>
    </row>
    <row r="74" ht="14.25" customHeight="1">
      <c r="A74" s="1" t="s">
        <v>420</v>
      </c>
      <c r="B74" s="1" t="s">
        <v>416</v>
      </c>
      <c r="C74" s="1" t="s">
        <v>14</v>
      </c>
    </row>
    <row r="75" ht="14.25" customHeight="1">
      <c r="A75" s="1" t="s">
        <v>420</v>
      </c>
      <c r="B75" s="1" t="s">
        <v>407</v>
      </c>
      <c r="C75" s="1" t="s">
        <v>42</v>
      </c>
    </row>
    <row r="76" ht="14.25" customHeight="1">
      <c r="A76" s="1" t="s">
        <v>420</v>
      </c>
      <c r="B76" s="1" t="s">
        <v>428</v>
      </c>
      <c r="C76" s="1" t="s">
        <v>256</v>
      </c>
    </row>
    <row r="77" ht="14.25" customHeight="1">
      <c r="A77" s="1" t="s">
        <v>420</v>
      </c>
      <c r="B77" s="1" t="s">
        <v>469</v>
      </c>
      <c r="C77" s="1" t="s">
        <v>42</v>
      </c>
    </row>
    <row r="78" ht="14.25" customHeight="1">
      <c r="A78" s="1" t="s">
        <v>1206</v>
      </c>
      <c r="B78" s="1" t="s">
        <v>418</v>
      </c>
      <c r="C78" s="1" t="s">
        <v>14</v>
      </c>
    </row>
    <row r="79" ht="14.25" customHeight="1">
      <c r="A79" s="1" t="s">
        <v>1206</v>
      </c>
      <c r="B79" s="1" t="s">
        <v>448</v>
      </c>
      <c r="C79" s="1" t="s">
        <v>256</v>
      </c>
    </row>
    <row r="80" ht="14.25" customHeight="1">
      <c r="A80" s="1" t="s">
        <v>1206</v>
      </c>
      <c r="B80" s="1" t="s">
        <v>475</v>
      </c>
      <c r="C80" s="1" t="s">
        <v>81</v>
      </c>
    </row>
    <row r="81" ht="14.25" customHeight="1">
      <c r="A81" s="1" t="s">
        <v>1207</v>
      </c>
      <c r="B81" s="1" t="s">
        <v>427</v>
      </c>
      <c r="C81" s="1" t="s">
        <v>14</v>
      </c>
    </row>
    <row r="82" ht="14.25" customHeight="1">
      <c r="A82" s="1" t="s">
        <v>1207</v>
      </c>
      <c r="B82" s="1" t="s">
        <v>456</v>
      </c>
      <c r="C82" s="1" t="s">
        <v>81</v>
      </c>
    </row>
    <row r="83" ht="14.25" customHeight="1">
      <c r="A83" s="1" t="s">
        <v>1207</v>
      </c>
      <c r="B83" s="1" t="s">
        <v>458</v>
      </c>
      <c r="C83" s="1" t="s">
        <v>213</v>
      </c>
    </row>
    <row r="84" ht="14.25" customHeight="1">
      <c r="A84" s="1" t="s">
        <v>1208</v>
      </c>
      <c r="B84" s="1" t="s">
        <v>457</v>
      </c>
      <c r="C84" s="1" t="s">
        <v>256</v>
      </c>
    </row>
    <row r="85" ht="14.25" customHeight="1">
      <c r="A85" s="1" t="s">
        <v>1208</v>
      </c>
      <c r="B85" s="1" t="s">
        <v>439</v>
      </c>
      <c r="C85" s="1" t="s">
        <v>160</v>
      </c>
    </row>
    <row r="86" ht="14.25" customHeight="1">
      <c r="A86" s="1" t="s">
        <v>1208</v>
      </c>
      <c r="B86" s="1" t="s">
        <v>475</v>
      </c>
      <c r="C86" s="1" t="s">
        <v>81</v>
      </c>
    </row>
    <row r="87" ht="14.25" customHeight="1">
      <c r="A87" s="1" t="s">
        <v>1209</v>
      </c>
      <c r="B87" s="1" t="s">
        <v>448</v>
      </c>
      <c r="C87" s="1" t="s">
        <v>256</v>
      </c>
    </row>
    <row r="88" ht="14.25" customHeight="1">
      <c r="A88" s="1" t="s">
        <v>1209</v>
      </c>
      <c r="B88" s="1" t="s">
        <v>407</v>
      </c>
      <c r="C88" s="1" t="s">
        <v>42</v>
      </c>
    </row>
    <row r="89" ht="14.25" customHeight="1">
      <c r="A89" s="1" t="s">
        <v>1209</v>
      </c>
      <c r="B89" s="1" t="s">
        <v>452</v>
      </c>
      <c r="C89" s="1" t="s">
        <v>160</v>
      </c>
    </row>
    <row r="90" ht="14.25" customHeight="1">
      <c r="A90" s="1" t="s">
        <v>1210</v>
      </c>
      <c r="B90" s="1" t="s">
        <v>460</v>
      </c>
      <c r="C90" s="1" t="s">
        <v>256</v>
      </c>
    </row>
    <row r="91" ht="14.25" customHeight="1">
      <c r="A91" s="1" t="s">
        <v>1210</v>
      </c>
      <c r="B91" s="1" t="s">
        <v>411</v>
      </c>
      <c r="C91" s="1" t="s">
        <v>42</v>
      </c>
    </row>
    <row r="92" ht="14.25" customHeight="1">
      <c r="A92" s="1" t="s">
        <v>1210</v>
      </c>
      <c r="B92" s="1" t="s">
        <v>476</v>
      </c>
      <c r="C92" s="1" t="s">
        <v>81</v>
      </c>
    </row>
    <row r="93" ht="14.25" customHeight="1">
      <c r="A93" s="1" t="s">
        <v>398</v>
      </c>
      <c r="B93" s="1" t="s">
        <v>404</v>
      </c>
      <c r="C93" s="1" t="s">
        <v>42</v>
      </c>
    </row>
    <row r="94" ht="14.25" customHeight="1">
      <c r="A94" s="1" t="s">
        <v>398</v>
      </c>
      <c r="B94" s="1" t="s">
        <v>412</v>
      </c>
      <c r="C94" s="1" t="s">
        <v>213</v>
      </c>
    </row>
    <row r="95" ht="14.25" customHeight="1">
      <c r="A95" s="1" t="s">
        <v>398</v>
      </c>
      <c r="B95" s="1" t="s">
        <v>409</v>
      </c>
      <c r="C95" s="1" t="s">
        <v>81</v>
      </c>
    </row>
    <row r="96" ht="14.25" customHeight="1">
      <c r="A96" s="1" t="s">
        <v>398</v>
      </c>
      <c r="B96" s="1" t="s">
        <v>405</v>
      </c>
      <c r="C96" s="1" t="s">
        <v>256</v>
      </c>
    </row>
    <row r="97" ht="14.25" customHeight="1">
      <c r="A97" s="1" t="s">
        <v>398</v>
      </c>
      <c r="B97" s="1" t="s">
        <v>509</v>
      </c>
      <c r="C97" s="1" t="s">
        <v>256</v>
      </c>
    </row>
    <row r="98" ht="14.25" customHeight="1">
      <c r="A98" s="1" t="s">
        <v>1211</v>
      </c>
      <c r="B98" s="1" t="s">
        <v>434</v>
      </c>
      <c r="C98" s="1" t="s">
        <v>160</v>
      </c>
    </row>
    <row r="99" ht="14.25" customHeight="1">
      <c r="A99" s="1" t="s">
        <v>1211</v>
      </c>
      <c r="B99" s="1" t="s">
        <v>437</v>
      </c>
      <c r="C99" s="1" t="s">
        <v>81</v>
      </c>
    </row>
    <row r="100" ht="14.25" customHeight="1">
      <c r="A100" s="1" t="s">
        <v>1211</v>
      </c>
      <c r="B100" s="1" t="s">
        <v>415</v>
      </c>
      <c r="C100" s="1" t="s">
        <v>14</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1192</v>
      </c>
      <c r="B1" s="1" t="s">
        <v>1212</v>
      </c>
      <c r="C1" s="1" t="s">
        <v>160</v>
      </c>
    </row>
    <row r="2" ht="14.25" customHeight="1">
      <c r="A2" s="1" t="s">
        <v>1193</v>
      </c>
      <c r="B2" s="1" t="s">
        <v>1212</v>
      </c>
      <c r="C2" s="1" t="s">
        <v>160</v>
      </c>
    </row>
    <row r="3" ht="14.25" customHeight="1">
      <c r="A3" s="1" t="s">
        <v>1194</v>
      </c>
      <c r="B3" s="1" t="s">
        <v>1212</v>
      </c>
      <c r="C3" s="1" t="s">
        <v>256</v>
      </c>
    </row>
    <row r="4" ht="14.25" customHeight="1">
      <c r="A4" s="1" t="s">
        <v>1195</v>
      </c>
      <c r="B4" s="1" t="s">
        <v>1212</v>
      </c>
      <c r="C4" s="1" t="s">
        <v>160</v>
      </c>
    </row>
    <row r="5" ht="14.25" customHeight="1">
      <c r="A5" s="1" t="s">
        <v>1196</v>
      </c>
      <c r="B5" s="1" t="s">
        <v>1212</v>
      </c>
      <c r="C5" s="1" t="s">
        <v>81</v>
      </c>
    </row>
    <row r="6" ht="14.25" customHeight="1">
      <c r="A6" s="1" t="s">
        <v>1197</v>
      </c>
      <c r="B6" s="1" t="s">
        <v>1212</v>
      </c>
      <c r="C6" s="1" t="s">
        <v>4</v>
      </c>
    </row>
    <row r="7" ht="14.25" customHeight="1">
      <c r="A7" s="1" t="s">
        <v>1198</v>
      </c>
      <c r="B7" s="1" t="s">
        <v>1212</v>
      </c>
      <c r="C7" s="1" t="s">
        <v>213</v>
      </c>
    </row>
    <row r="8" ht="14.25" customHeight="1">
      <c r="A8" s="1" t="s">
        <v>1199</v>
      </c>
      <c r="B8" s="1" t="s">
        <v>1212</v>
      </c>
      <c r="C8" s="1" t="s">
        <v>81</v>
      </c>
    </row>
    <row r="9" ht="14.25" customHeight="1">
      <c r="A9" s="1" t="s">
        <v>1200</v>
      </c>
      <c r="B9" s="1" t="s">
        <v>1212</v>
      </c>
      <c r="C9" s="1" t="s">
        <v>213</v>
      </c>
    </row>
    <row r="10" ht="14.25" customHeight="1">
      <c r="A10" s="1" t="s">
        <v>1201</v>
      </c>
      <c r="B10" s="1" t="s">
        <v>1212</v>
      </c>
      <c r="C10" s="1" t="s">
        <v>256</v>
      </c>
    </row>
    <row r="11" ht="14.25" customHeight="1">
      <c r="A11" s="1" t="s">
        <v>1202</v>
      </c>
      <c r="B11" s="1" t="s">
        <v>1212</v>
      </c>
      <c r="C11" s="1" t="s">
        <v>213</v>
      </c>
    </row>
    <row r="12" ht="14.25" customHeight="1">
      <c r="A12" s="1" t="s">
        <v>1203</v>
      </c>
      <c r="B12" s="1" t="s">
        <v>1212</v>
      </c>
      <c r="C12" s="1" t="s">
        <v>213</v>
      </c>
    </row>
    <row r="13" ht="14.25" customHeight="1">
      <c r="A13" s="1" t="s">
        <v>1204</v>
      </c>
      <c r="B13" s="1" t="s">
        <v>1212</v>
      </c>
      <c r="C13" s="1" t="s">
        <v>160</v>
      </c>
    </row>
    <row r="14" ht="14.25" customHeight="1">
      <c r="A14" s="1" t="s">
        <v>1205</v>
      </c>
      <c r="B14" s="1" t="s">
        <v>1212</v>
      </c>
      <c r="C14" s="1" t="s">
        <v>81</v>
      </c>
    </row>
    <row r="15" ht="14.25" customHeight="1">
      <c r="A15" s="1" t="s">
        <v>1206</v>
      </c>
      <c r="B15" s="1" t="s">
        <v>1212</v>
      </c>
      <c r="C15" s="1" t="s">
        <v>81</v>
      </c>
    </row>
    <row r="16" ht="14.25" customHeight="1">
      <c r="A16" s="1" t="s">
        <v>1207</v>
      </c>
      <c r="B16" s="1" t="s">
        <v>1212</v>
      </c>
      <c r="C16" s="1" t="s">
        <v>4</v>
      </c>
    </row>
    <row r="17" ht="14.25" customHeight="1">
      <c r="A17" s="1" t="s">
        <v>1208</v>
      </c>
      <c r="B17" s="1" t="s">
        <v>1212</v>
      </c>
      <c r="C17" s="1" t="s">
        <v>256</v>
      </c>
    </row>
    <row r="18" ht="14.25" customHeight="1">
      <c r="A18" s="1" t="s">
        <v>1209</v>
      </c>
      <c r="B18" s="1" t="s">
        <v>1212</v>
      </c>
      <c r="C18" s="1" t="s">
        <v>42</v>
      </c>
    </row>
    <row r="19" ht="14.25" customHeight="1">
      <c r="A19" s="1" t="s">
        <v>1210</v>
      </c>
      <c r="B19" s="1" t="s">
        <v>1212</v>
      </c>
      <c r="C19" s="1" t="s">
        <v>81</v>
      </c>
    </row>
    <row r="20" ht="14.25" customHeight="1">
      <c r="A20" s="1" t="s">
        <v>1211</v>
      </c>
      <c r="B20" s="1" t="s">
        <v>1212</v>
      </c>
      <c r="C20" s="1" t="s">
        <v>4</v>
      </c>
    </row>
    <row r="21" ht="14.25" customHeight="1">
      <c r="A21" s="1" t="s">
        <v>445</v>
      </c>
      <c r="B21" s="1" t="s">
        <v>1213</v>
      </c>
      <c r="C21" s="1" t="s">
        <v>4</v>
      </c>
    </row>
    <row r="22" ht="14.25" customHeight="1">
      <c r="A22" s="1" t="s">
        <v>401</v>
      </c>
      <c r="B22" s="1" t="s">
        <v>1213</v>
      </c>
      <c r="C22" s="1" t="s">
        <v>42</v>
      </c>
    </row>
    <row r="23" ht="14.25" customHeight="1">
      <c r="A23" s="1" t="s">
        <v>466</v>
      </c>
      <c r="B23" s="1" t="s">
        <v>1213</v>
      </c>
      <c r="C23" s="1" t="s">
        <v>4</v>
      </c>
    </row>
    <row r="24" ht="14.25" customHeight="1">
      <c r="A24" s="1" t="s">
        <v>423</v>
      </c>
      <c r="B24" s="1" t="s">
        <v>1213</v>
      </c>
      <c r="C24" s="1" t="s">
        <v>213</v>
      </c>
    </row>
    <row r="25" ht="14.25" customHeight="1">
      <c r="A25" s="1" t="s">
        <v>442</v>
      </c>
      <c r="B25" s="1" t="s">
        <v>1213</v>
      </c>
      <c r="C25" s="1" t="s">
        <v>160</v>
      </c>
    </row>
    <row r="26" ht="14.25" customHeight="1">
      <c r="A26" s="1" t="s">
        <v>463</v>
      </c>
      <c r="B26" s="1" t="s">
        <v>1213</v>
      </c>
      <c r="C26" s="1" t="s">
        <v>4</v>
      </c>
    </row>
    <row r="27" ht="14.25" customHeight="1">
      <c r="A27" s="1" t="s">
        <v>420</v>
      </c>
      <c r="B27" s="1" t="s">
        <v>1213</v>
      </c>
      <c r="C27" s="1" t="s">
        <v>42</v>
      </c>
    </row>
    <row r="28" ht="14.25" customHeight="1">
      <c r="A28" s="1" t="s">
        <v>398</v>
      </c>
      <c r="B28" s="1" t="s">
        <v>1213</v>
      </c>
      <c r="C28" s="1" t="s">
        <v>256</v>
      </c>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1214</v>
      </c>
      <c r="D1" s="1" t="s">
        <v>1215</v>
      </c>
      <c r="H1" s="1" t="s">
        <v>0</v>
      </c>
      <c r="I1" s="1" t="str">
        <f>MID(A1,4,LEN(A1))</f>
        <v>Basic Array Mastery</v>
      </c>
      <c r="J1" s="1" t="str">
        <f>VLOOKUP(MID(D1,1,LEN(D1)-2),BasicSkills!$B$1:$E$55,2,FALSE)</f>
        <v>INT</v>
      </c>
      <c r="K1" s="1" t="str">
        <f>VLOOKUP(MID(D1,1,LEN(D1)-2),BasicSkills!$B$1:$E$55,3,FALSE)</f>
        <v>Support</v>
      </c>
      <c r="L1" s="1" t="str">
        <f>TRIM(MID(D1,1,LEN(D1)-2))</f>
        <v>Formal Magics</v>
      </c>
      <c r="M1" s="1" t="str">
        <f>A2</f>
        <v>the ability to peform basic arrays, allowing a wide range of applications in magic based cultures, including the making of semi-permanent magic circles</v>
      </c>
    </row>
    <row r="2" ht="14.25" customHeight="1">
      <c r="A2" s="1" t="s">
        <v>890</v>
      </c>
      <c r="H2" s="1" t="s">
        <v>0</v>
      </c>
    </row>
    <row r="3" ht="14.25" customHeight="1">
      <c r="A3" s="1" t="s">
        <v>1216</v>
      </c>
      <c r="D3" s="1" t="s">
        <v>1217</v>
      </c>
      <c r="H3" s="1" t="s">
        <v>0</v>
      </c>
      <c r="I3" s="1" t="str">
        <f>MID(A3,4,LEN(A3))</f>
        <v>Witchcraft</v>
      </c>
      <c r="J3" s="1" t="str">
        <f>VLOOKUP(MID(D3,1,LEN(D3)-2),BasicSkills!$B$1:$E$55,2,FALSE)</f>
        <v>INT</v>
      </c>
      <c r="K3" s="1" t="str">
        <f>VLOOKUP(MID(D3,1,LEN(D3)-2),BasicSkills!$B$1:$E$55,3,FALSE)</f>
        <v>Support</v>
      </c>
      <c r="L3" s="1" t="str">
        <f>TRIM(MID(D3,1,LEN(D3)-2))</f>
        <v>Formal Magics</v>
      </c>
      <c r="M3" s="1" t="str">
        <f>A4</f>
        <v>The ancient art of witchcraft as explained by the kabbalistic witches of the modern era, its rich in occult knowledge relating to nature and magic</v>
      </c>
    </row>
    <row r="4" ht="14.25" customHeight="1">
      <c r="A4" s="1" t="s">
        <v>892</v>
      </c>
      <c r="H4" s="1" t="s">
        <v>0</v>
      </c>
    </row>
    <row r="5" ht="14.25" customHeight="1">
      <c r="A5" s="1" t="s">
        <v>1218</v>
      </c>
      <c r="D5" s="1" t="s">
        <v>1219</v>
      </c>
      <c r="H5" s="1" t="s">
        <v>0</v>
      </c>
      <c r="I5" s="1" t="str">
        <f>MID(A5,4,LEN(A5))</f>
        <v>Basic Magic Theory</v>
      </c>
      <c r="J5" s="1" t="str">
        <f>VLOOKUP(MID(D5,1,LEN(D5)-2),BasicSkills!$B$1:$E$55,2,FALSE)</f>
        <v>PER</v>
      </c>
      <c r="K5" s="1" t="str">
        <f>VLOOKUP(MID(D5,1,LEN(D5)-2),BasicSkills!$B$1:$E$55,3,FALSE)</f>
        <v>Support</v>
      </c>
      <c r="L5" s="1" t="str">
        <f>TRIM(MID(D5,1,LEN(D5)-2))</f>
        <v>Spellcraft</v>
      </c>
      <c r="M5" s="1" t="str">
        <f>A6</f>
        <v>the ability to study, disect and understand magic, its a rather technical skill used to obtain understanding magic and the laws of the world</v>
      </c>
    </row>
    <row r="6" ht="14.25" customHeight="1">
      <c r="A6" s="1" t="s">
        <v>966</v>
      </c>
      <c r="H6" s="1" t="s">
        <v>0</v>
      </c>
    </row>
    <row r="7" ht="14.25" customHeight="1">
      <c r="A7" s="1" t="s">
        <v>1220</v>
      </c>
      <c r="D7" s="1" t="s">
        <v>1221</v>
      </c>
      <c r="H7" s="1" t="s">
        <v>0</v>
      </c>
      <c r="I7" s="1" t="str">
        <f>MID(A7,4,LEN(A7))</f>
        <v>SpellBreaker</v>
      </c>
      <c r="J7" s="1" t="str">
        <f>VLOOKUP(MID(D7,1,LEN(D7)-2),BasicSkills!$B$1:$E$55,2,FALSE)</f>
        <v>PER</v>
      </c>
      <c r="K7" s="1" t="str">
        <f>VLOOKUP(MID(D7,1,LEN(D7)-2),BasicSkills!$B$1:$E$55,3,FALSE)</f>
        <v>Support</v>
      </c>
      <c r="L7" s="1" t="str">
        <f>TRIM(MID(D7,1,LEN(D7)-2))</f>
        <v>Spellcraft</v>
      </c>
      <c r="M7" s="1" t="str">
        <f>A8</f>
        <v>the ability to break magic apart by understanding its estructure and composition, this specialized skill would allow a non-mage to counter magic using basic physical components</v>
      </c>
    </row>
    <row r="8" ht="14.25" customHeight="1">
      <c r="A8" s="1" t="s">
        <v>970</v>
      </c>
      <c r="H8" s="1" t="s">
        <v>0</v>
      </c>
    </row>
    <row r="9" ht="14.25" customHeight="1">
      <c r="A9" s="1" t="s">
        <v>1222</v>
      </c>
      <c r="D9" s="1" t="s">
        <v>1223</v>
      </c>
      <c r="H9" s="1" t="s">
        <v>0</v>
      </c>
      <c r="I9" s="1" t="str">
        <f>MID(A9,4,LEN(A9))</f>
        <v>Battlecraft</v>
      </c>
      <c r="J9" s="1" t="str">
        <f>VLOOKUP(MID(D9,1,LEN(D9)-2),BasicSkills!$B$1:$E$55,2,FALSE)</f>
        <v>PER</v>
      </c>
      <c r="K9" s="1" t="str">
        <f>VLOOKUP(MID(D9,1,LEN(D9)-2),BasicSkills!$B$1:$E$55,3,FALSE)</f>
        <v>Support</v>
      </c>
      <c r="L9" s="1" t="str">
        <f>TRIM(MID(D9,1,LEN(D9)-2))</f>
        <v>Spellcraft</v>
      </c>
      <c r="M9" s="1" t="str">
        <f>A10</f>
        <v>the ability to use and apply magic during battle in a efficient manner, it makes the casting of magic more efficient by adjusting the user to chaotic enviroments, its a nesesary skill for mage knights</v>
      </c>
    </row>
    <row r="10" ht="14.25" customHeight="1">
      <c r="A10" s="1" t="s">
        <v>968</v>
      </c>
      <c r="H10" s="1" t="s">
        <v>0</v>
      </c>
    </row>
    <row r="11" ht="14.25" customHeight="1">
      <c r="A11" s="1" t="s">
        <v>1224</v>
      </c>
      <c r="D11" s="1" t="s">
        <v>1225</v>
      </c>
      <c r="H11" s="1" t="s">
        <v>0</v>
      </c>
      <c r="I11" s="1" t="str">
        <f>MID(A11,4,LEN(A11))</f>
        <v>Fate Walker</v>
      </c>
      <c r="J11" s="1" t="str">
        <f>VLOOKUP(MID(D11,1,LEN(D11)-2),BasicSkills!$B$1:$E$55,2,FALSE)</f>
        <v>INT</v>
      </c>
      <c r="K11" s="1" t="str">
        <f>VLOOKUP(MID(D11,1,LEN(D11)-2),BasicSkills!$B$1:$E$55,3,FALSE)</f>
        <v>Support</v>
      </c>
      <c r="L11" s="1" t="str">
        <f>TRIM(MID(D11,1,LEN(D11)-2))</f>
        <v>Astrology</v>
      </c>
      <c r="M11" s="1" t="str">
        <f>A12</f>
        <v>the ability to follow fate and let yourself go with the current of destiny, you are a awakening as a seer and fate is showing you visions and dreams</v>
      </c>
    </row>
    <row r="12" ht="14.25" customHeight="1">
      <c r="A12" s="1" t="s">
        <v>884</v>
      </c>
      <c r="H12" s="1" t="s">
        <v>0</v>
      </c>
    </row>
    <row r="13" ht="14.25" customHeight="1">
      <c r="A13" s="1" t="s">
        <v>1226</v>
      </c>
      <c r="D13" s="1" t="s">
        <v>1227</v>
      </c>
      <c r="H13" s="1" t="s">
        <v>0</v>
      </c>
      <c r="I13" s="1" t="str">
        <f>MID(A13,4,LEN(A13))</f>
        <v>Occultism</v>
      </c>
      <c r="J13" s="1" t="str">
        <f>VLOOKUP(MID(D13,1,LEN(D13)-2),BasicSkills!$B$1:$E$55,2,FALSE)</f>
        <v>INT</v>
      </c>
      <c r="K13" s="1" t="str">
        <f>VLOOKUP(MID(D13,1,LEN(D13)-2),BasicSkills!$B$1:$E$55,3,FALSE)</f>
        <v>Support</v>
      </c>
      <c r="L13" s="1" t="str">
        <f>TRIM(MID(D13,1,LEN(D13)-2))</f>
        <v>Astrology</v>
      </c>
      <c r="M13" s="1" t="str">
        <f>A14</f>
        <v>The user recognizes occult paraphernalia, words, and concepts, and identifies grimoires of magic and occult codes when he sees them. This is the skill that dives deep into superstision and obscure esoteric knowledge, some of it is bullshit some of it is the gate to the abyss</v>
      </c>
    </row>
    <row r="14" ht="14.25" customHeight="1">
      <c r="A14" s="1" t="s">
        <v>888</v>
      </c>
      <c r="H14" s="1" t="s">
        <v>0</v>
      </c>
    </row>
    <row r="15" ht="14.25" customHeight="1">
      <c r="A15" s="1" t="s">
        <v>1228</v>
      </c>
      <c r="D15" s="1" t="s">
        <v>1229</v>
      </c>
      <c r="H15" s="1" t="s">
        <v>0</v>
      </c>
      <c r="I15" s="1" t="str">
        <f>MID(A15,4,LEN(A15))</f>
        <v>Fortune-Telling</v>
      </c>
      <c r="J15" s="1" t="str">
        <f>VLOOKUP(MID(D15,1,LEN(D15)-2),BasicSkills!$B$1:$E$55,2,FALSE)</f>
        <v>INT</v>
      </c>
      <c r="K15" s="1" t="str">
        <f>VLOOKUP(MID(D15,1,LEN(D15)-2),BasicSkills!$B$1:$E$55,3,FALSE)</f>
        <v>Support</v>
      </c>
      <c r="L15" s="1" t="str">
        <f>TRIM(MID(D15,1,LEN(D15)-2))</f>
        <v>Astrology</v>
      </c>
      <c r="M15" s="1" t="str">
        <f>A16</f>
        <v>the ability to glimpse the strands of fate and destiny that make up the universe, and can gain some glimmer of insight into the future as a result</v>
      </c>
    </row>
    <row r="16" ht="14.25" customHeight="1">
      <c r="A16" s="1" t="s">
        <v>886</v>
      </c>
      <c r="H16" s="1" t="s">
        <v>0</v>
      </c>
    </row>
    <row r="17" ht="14.25" customHeight="1">
      <c r="A17" s="1" t="s">
        <v>1230</v>
      </c>
      <c r="D17" s="1" t="s">
        <v>1231</v>
      </c>
      <c r="H17" s="1" t="s">
        <v>0</v>
      </c>
      <c r="I17" s="1" t="str">
        <f>MID(A17,4,LEN(A17))</f>
        <v>Inhuman Linguistics</v>
      </c>
      <c r="J17" s="1" t="str">
        <f>VLOOKUP(MID(D17,1,LEN(D17)-2),BasicSkills!$B$1:$E$55,2,FALSE)</f>
        <v>INT</v>
      </c>
      <c r="K17" s="1" t="str">
        <f>VLOOKUP(MID(D17,1,LEN(D17)-2),BasicSkills!$B$1:$E$55,3,FALSE)</f>
        <v>Support</v>
      </c>
      <c r="L17" s="1" t="str">
        <f>TRIM(MID(D17,1,LEN(D17)-2))</f>
        <v>Linguistics</v>
      </c>
      <c r="M17" s="1" t="str">
        <f>A18</f>
        <v>the ability to translate ancient and lost languages provided that you have sufficient material to produce a codex. Otherwise, it also can generate a simplified codex of a language using enought data</v>
      </c>
    </row>
    <row r="18" ht="14.25" customHeight="1">
      <c r="A18" s="1" t="s">
        <v>912</v>
      </c>
      <c r="H18" s="1" t="s">
        <v>0</v>
      </c>
    </row>
    <row r="19" ht="14.25" customHeight="1">
      <c r="A19" s="1" t="s">
        <v>1232</v>
      </c>
      <c r="D19" s="1" t="s">
        <v>1233</v>
      </c>
      <c r="H19" s="1" t="s">
        <v>0</v>
      </c>
      <c r="I19" s="1" t="str">
        <f>MID(A19,4,LEN(A19))</f>
        <v>Encoding</v>
      </c>
      <c r="J19" s="1" t="str">
        <f>VLOOKUP(MID(D19,1,LEN(D19)-2),BasicSkills!$B$1:$E$55,2,FALSE)</f>
        <v>INT</v>
      </c>
      <c r="K19" s="1" t="str">
        <f>VLOOKUP(MID(D19,1,LEN(D19)-2),BasicSkills!$B$1:$E$55,3,FALSE)</f>
        <v>Support</v>
      </c>
      <c r="L19" s="1" t="str">
        <f>TRIM(MID(D19,1,LEN(D19)-2))</f>
        <v>Linguistics</v>
      </c>
      <c r="M19" s="1" t="str">
        <f>A20</f>
        <v>the ability to cipher, decipher and compress data into encoded messages, its a highly sought knowledge since most magical messages must be coded in someway. Its possible to create a cipher codex in order to create simplified cipher for common people</v>
      </c>
    </row>
    <row r="20" ht="14.25" customHeight="1">
      <c r="A20" s="1" t="s">
        <v>910</v>
      </c>
      <c r="H20" s="1" t="s">
        <v>0</v>
      </c>
    </row>
    <row r="21" ht="14.25" customHeight="1">
      <c r="A21" s="1" t="s">
        <v>1234</v>
      </c>
      <c r="D21" s="1" t="s">
        <v>1235</v>
      </c>
      <c r="H21" s="1" t="s">
        <v>0</v>
      </c>
      <c r="I21" s="1" t="str">
        <f>MID(A21,4,LEN(A21))</f>
        <v>Caligraphy</v>
      </c>
      <c r="J21" s="1" t="str">
        <f>VLOOKUP(MID(D21,1,LEN(D21)-2),BasicSkills!$B$1:$E$55,2,FALSE)</f>
        <v>INT</v>
      </c>
      <c r="K21" s="1" t="str">
        <f>VLOOKUP(MID(D21,1,LEN(D21)-2),BasicSkills!$B$1:$E$55,3,FALSE)</f>
        <v>Support</v>
      </c>
      <c r="L21" s="1" t="str">
        <f>TRIM(MID(D21,1,LEN(D21)-2))</f>
        <v>Linguistics</v>
      </c>
      <c r="M21" s="1" t="str">
        <f>A22</f>
        <v>Calligraphy is considered an art form by many, but it can be used in many ways as a means to deliver messages or as way to gain enlightment</v>
      </c>
    </row>
    <row r="22" ht="14.25" customHeight="1">
      <c r="A22" s="1" t="s">
        <v>908</v>
      </c>
      <c r="H22" s="1" t="s">
        <v>0</v>
      </c>
    </row>
    <row r="23" ht="14.25" customHeight="1">
      <c r="A23" s="1" t="s">
        <v>1236</v>
      </c>
      <c r="D23" s="1" t="s">
        <v>1237</v>
      </c>
      <c r="H23" s="1" t="s">
        <v>0</v>
      </c>
      <c r="I23" s="1" t="str">
        <f>MID(A23,4,LEN(A23))</f>
        <v>Basic Schoolastic Mastery</v>
      </c>
      <c r="J23" s="1" t="str">
        <f>VLOOKUP(MID(D23,1,LEN(D23)-2),BasicSkills!$B$1:$E$55,2,FALSE)</f>
        <v>INT</v>
      </c>
      <c r="K23" s="1" t="str">
        <f>VLOOKUP(MID(D23,1,LEN(D23)-2),BasicSkills!$B$1:$E$55,3,FALSE)</f>
        <v>Support</v>
      </c>
      <c r="L23" s="1" t="str">
        <f>TRIM(MID(D23,1,LEN(D23)-2))</f>
        <v>Knowledge</v>
      </c>
      <c r="M23" s="1" t="str">
        <f>A24</f>
        <v>The ability to research a wide variety of knowledges related to the parent knowledge, this is a ever growing skill, the more knowledge you posess the bigger its influence</v>
      </c>
    </row>
    <row r="24" ht="14.25" customHeight="1">
      <c r="A24" s="1" t="s">
        <v>902</v>
      </c>
      <c r="H24" s="1" t="s">
        <v>0</v>
      </c>
    </row>
    <row r="25" ht="14.25" customHeight="1">
      <c r="A25" s="1" t="s">
        <v>1238</v>
      </c>
      <c r="D25" s="1" t="s">
        <v>1239</v>
      </c>
      <c r="H25" s="1" t="s">
        <v>0</v>
      </c>
      <c r="I25" s="1" t="str">
        <f>MID(A25,4,LEN(A25))</f>
        <v>High Knowledge</v>
      </c>
      <c r="J25" s="1" t="str">
        <f>VLOOKUP(MID(D25,1,LEN(D25)-2),BasicSkills!$B$1:$E$55,2,FALSE)</f>
        <v>INT</v>
      </c>
      <c r="K25" s="1" t="str">
        <f>VLOOKUP(MID(D25,1,LEN(D25)-2),BasicSkills!$B$1:$E$55,3,FALSE)</f>
        <v>Support</v>
      </c>
      <c r="L25" s="1" t="str">
        <f>TRIM(MID(D25,1,LEN(D25)-2))</f>
        <v>Knowledge</v>
      </c>
      <c r="M25" s="1" t="str">
        <f>A26</f>
        <v>The ability access a particular branch of a parent knowledge, unlike the parent knowledge which is rather generalistic this is a specific form of knowlege much more focused and much more detailed about a particular subject</v>
      </c>
    </row>
    <row r="26" ht="14.25" customHeight="1">
      <c r="A26" s="1" t="s">
        <v>906</v>
      </c>
      <c r="H26" s="1" t="s">
        <v>0</v>
      </c>
    </row>
    <row r="27" ht="14.25" customHeight="1">
      <c r="A27" s="1" t="s">
        <v>1240</v>
      </c>
      <c r="D27" s="1" t="s">
        <v>1241</v>
      </c>
      <c r="H27" s="1" t="s">
        <v>0</v>
      </c>
      <c r="I27" s="1" t="str">
        <f>MID(A27,4,LEN(A27))</f>
        <v>Basic Philosophy</v>
      </c>
      <c r="J27" s="1" t="str">
        <f>VLOOKUP(MID(D27,1,LEN(D27)-2),BasicSkills!$B$1:$E$55,2,FALSE)</f>
        <v>INT</v>
      </c>
      <c r="K27" s="1" t="str">
        <f>VLOOKUP(MID(D27,1,LEN(D27)-2),BasicSkills!$B$1:$E$55,3,FALSE)</f>
        <v>Support</v>
      </c>
      <c r="L27" s="1" t="str">
        <f>TRIM(MID(D27,1,LEN(D27)-2))</f>
        <v>Knowledge</v>
      </c>
      <c r="M27" s="1" t="str">
        <f>A28</f>
        <v>A learned person is capable of understanding the concept of things and the ethereal behind the physical</v>
      </c>
    </row>
    <row r="28" ht="14.25" customHeight="1">
      <c r="A28" s="1" t="s">
        <v>900</v>
      </c>
      <c r="H28" s="1" t="s">
        <v>0</v>
      </c>
    </row>
    <row r="29" ht="14.25" customHeight="1">
      <c r="A29" s="1" t="s">
        <v>1242</v>
      </c>
      <c r="D29" s="1" t="s">
        <v>1241</v>
      </c>
      <c r="H29" s="1" t="s">
        <v>0</v>
      </c>
      <c r="I29" s="1" t="str">
        <f>MID(A29,4,LEN(A29))</f>
        <v>Encyclopedia</v>
      </c>
      <c r="J29" s="1" t="str">
        <f>VLOOKUP(MID(D29,1,LEN(D29)-2),BasicSkills!$B$1:$E$55,2,FALSE)</f>
        <v>INT</v>
      </c>
      <c r="K29" s="1" t="str">
        <f>VLOOKUP(MID(D29,1,LEN(D29)-2),BasicSkills!$B$1:$E$55,3,FALSE)</f>
        <v>Support</v>
      </c>
      <c r="L29" s="1" t="str">
        <f>TRIM(MID(D29,1,LEN(D29)-2))</f>
        <v>Knowledge</v>
      </c>
      <c r="M29" s="1" t="str">
        <f>A30</f>
        <v>a simple generalized knowledge focused on knowing about the definition of a lot of things, its useful when traveling and has a large syngergy with appraisal skill</v>
      </c>
    </row>
    <row r="30" ht="14.25" customHeight="1">
      <c r="A30" s="1" t="s">
        <v>904</v>
      </c>
      <c r="H30" s="1" t="s">
        <v>0</v>
      </c>
    </row>
    <row r="31" ht="14.25" customHeight="1">
      <c r="A31" s="1" t="s">
        <v>1243</v>
      </c>
      <c r="D31" s="1" t="s">
        <v>1244</v>
      </c>
      <c r="H31" s="1" t="s">
        <v>0</v>
      </c>
      <c r="I31" s="1" t="str">
        <f>MID(A31,4,LEN(A31))</f>
        <v>Lesser Enigma</v>
      </c>
      <c r="J31" s="1" t="str">
        <f>VLOOKUP(MID(D31,1,LEN(D31)-2),BasicSkills!$B$1:$E$55,2,FALSE)</f>
        <v>PER</v>
      </c>
      <c r="K31" s="1" t="str">
        <f>VLOOKUP(MID(D31,1,LEN(D31)-2),BasicSkills!$B$1:$E$55,3,FALSE)</f>
        <v>Support</v>
      </c>
      <c r="L31" s="1" t="str">
        <f>TRIM(MID(D31,1,LEN(D31)-2))</f>
        <v>Investigation</v>
      </c>
      <c r="M31" s="1" t="str">
        <f>A32</f>
        <v>Logic problems, puzzles and mysteries are all in the realm of Enigmas. Characters with this talent link information and hunches together to solve conundrums of all varieties, from the spiritual to the material</v>
      </c>
    </row>
    <row r="32" ht="14.25" customHeight="1">
      <c r="A32" s="1" t="s">
        <v>956</v>
      </c>
      <c r="H32" s="1" t="s">
        <v>0</v>
      </c>
    </row>
    <row r="33" ht="14.25" customHeight="1">
      <c r="A33" s="1" t="s">
        <v>1245</v>
      </c>
      <c r="D33" s="1" t="s">
        <v>1246</v>
      </c>
      <c r="H33" s="1" t="s">
        <v>0</v>
      </c>
      <c r="I33" s="1" t="str">
        <f>MID(A33,4,LEN(A33))</f>
        <v>Sleuth</v>
      </c>
      <c r="J33" s="1" t="str">
        <f>VLOOKUP(MID(D33,1,LEN(D33)-2),BasicSkills!$B$1:$E$55,2,FALSE)</f>
        <v>PER</v>
      </c>
      <c r="K33" s="1" t="str">
        <f>VLOOKUP(MID(D33,1,LEN(D33)-2),BasicSkills!$B$1:$E$55,3,FALSE)</f>
        <v>Support</v>
      </c>
      <c r="L33" s="1" t="str">
        <f>TRIM(MID(D33,1,LEN(D33)-2))</f>
        <v>Investigation</v>
      </c>
      <c r="M33" s="1" t="str">
        <f>A34</f>
        <v>The development of atention to fine details as well as logical deductions, its a skill used to make sharp remaks and perceive details which easily escape the common man. You've learned to notice details others might overlook, and might make an admirable detective. This knowledge represents not only a good eye for detail, but also an ability to do research and follow leads</v>
      </c>
    </row>
    <row r="34" ht="14.25" customHeight="1">
      <c r="A34" s="1" t="s">
        <v>958</v>
      </c>
      <c r="H34" s="1" t="s">
        <v>0</v>
      </c>
    </row>
    <row r="35" ht="14.25" customHeight="1">
      <c r="A35" s="1" t="s">
        <v>1247</v>
      </c>
      <c r="D35" s="1" t="s">
        <v>1248</v>
      </c>
      <c r="H35" s="1" t="s">
        <v>0</v>
      </c>
      <c r="I35" s="1" t="str">
        <f>MID(A35,4,LEN(A35))</f>
        <v>Interrogation</v>
      </c>
      <c r="J35" s="1" t="str">
        <f>VLOOKUP(MID(D35,1,LEN(D35)-2),BasicSkills!$B$1:$E$55,2,FALSE)</f>
        <v>PER</v>
      </c>
      <c r="K35" s="1" t="str">
        <f>VLOOKUP(MID(D35,1,LEN(D35)-2),BasicSkills!$B$1:$E$55,3,FALSE)</f>
        <v>Support</v>
      </c>
      <c r="L35" s="1" t="str">
        <f>TRIM(MID(D35,1,LEN(D35)-2))</f>
        <v>Investigation</v>
      </c>
      <c r="M35" s="1" t="str">
        <f>A36</f>
        <v>the ability to extract information from a target using you observation power along with your skill in order break away lies and deceit</v>
      </c>
    </row>
    <row r="36" ht="14.25" customHeight="1">
      <c r="A36" s="1" t="s">
        <v>954</v>
      </c>
      <c r="H36" s="1" t="s">
        <v>0</v>
      </c>
    </row>
    <row r="37" ht="14.25" customHeight="1">
      <c r="A37" s="1" t="s">
        <v>1249</v>
      </c>
      <c r="D37" s="1" t="s">
        <v>1250</v>
      </c>
      <c r="H37" s="1" t="s">
        <v>0</v>
      </c>
      <c r="I37" s="1" t="str">
        <f>MID(A37,4,LEN(A37))</f>
        <v>Lesser Counceling</v>
      </c>
      <c r="J37" s="1" t="str">
        <f>VLOOKUP(MID(D37,1,LEN(D37)-2),BasicSkills!$B$1:$E$55,2,FALSE)</f>
        <v>PER</v>
      </c>
      <c r="K37" s="1" t="str">
        <f>VLOOKUP(MID(D37,1,LEN(D37)-2),BasicSkills!$B$1:$E$55,3,FALSE)</f>
        <v>Support</v>
      </c>
      <c r="L37" s="1" t="str">
        <f>TRIM(MID(D37,1,LEN(D37)-2))</f>
        <v>Sense Motive</v>
      </c>
      <c r="M37" s="1" t="str">
        <f>A38</f>
        <v>You are skilled in helping with mental stress and treating simple mental ailments (such as Derangements) without resorting to the use of behavior-altering drugs</v>
      </c>
    </row>
    <row r="38" ht="14.25" customHeight="1">
      <c r="A38" s="1" t="s">
        <v>964</v>
      </c>
      <c r="H38" s="1" t="s">
        <v>0</v>
      </c>
    </row>
    <row r="39" ht="14.25" customHeight="1">
      <c r="A39" s="1" t="s">
        <v>1251</v>
      </c>
      <c r="D39" s="1" t="s">
        <v>1252</v>
      </c>
      <c r="H39" s="1" t="s">
        <v>0</v>
      </c>
      <c r="I39" s="1" t="str">
        <f>MID(A39,4,LEN(A39))</f>
        <v>Empathic Insight</v>
      </c>
      <c r="J39" s="1" t="str">
        <f>VLOOKUP(MID(D39,1,LEN(D39)-2),BasicSkills!$B$1:$E$55,2,FALSE)</f>
        <v>PER</v>
      </c>
      <c r="K39" s="1" t="str">
        <f>VLOOKUP(MID(D39,1,LEN(D39)-2),BasicSkills!$B$1:$E$55,3,FALSE)</f>
        <v>Support</v>
      </c>
      <c r="L39" s="1" t="str">
        <f>TRIM(MID(D39,1,LEN(D39)-2))</f>
        <v>Sense Motive</v>
      </c>
      <c r="M39" s="1" t="str">
        <f>A40</f>
        <v> You understand the emotions of others, and can sympathize with, feign sympathy for, or play on such emotions as you see fit. You are an easy hand at discerning motive, and might be able to pick up on when someone's lying to you. However, you may be so in tune with other people's feelings that your own emotions are affected</v>
      </c>
    </row>
    <row r="40" ht="14.25" customHeight="1">
      <c r="A40" s="1" t="s">
        <v>960</v>
      </c>
      <c r="H40" s="1" t="s">
        <v>0</v>
      </c>
    </row>
    <row r="41" ht="14.25" customHeight="1">
      <c r="A41" s="1" t="s">
        <v>1253</v>
      </c>
      <c r="D41" s="1" t="s">
        <v>1254</v>
      </c>
      <c r="H41" s="1" t="s">
        <v>0</v>
      </c>
      <c r="I41" s="1" t="str">
        <f>MID(A41,4,LEN(A41))</f>
        <v>Judgement (Person)</v>
      </c>
      <c r="J41" s="1" t="str">
        <f>VLOOKUP(MID(D41,1,LEN(D41)-2),BasicSkills!$B$1:$E$55,2,FALSE)</f>
        <v>PER</v>
      </c>
      <c r="K41" s="1" t="str">
        <f>VLOOKUP(MID(D41,1,LEN(D41)-2),BasicSkills!$B$1:$E$55,3,FALSE)</f>
        <v>Support</v>
      </c>
      <c r="L41" s="1" t="str">
        <f>TRIM(MID(D41,1,LEN(D41)-2))</f>
        <v>Sense Motive</v>
      </c>
      <c r="M41" s="1" t="str">
        <f>A42</f>
        <v>you have developed the ability to know instinctively when people are not telling you the truth or not telling you the whole truth. There is a way they look, a tone of voice, a movement of the eyes - you can’t analyze it, but it’s always there and your instincts rarely let you down.</v>
      </c>
    </row>
    <row r="42" ht="14.25" customHeight="1">
      <c r="A42" s="1" t="s">
        <v>962</v>
      </c>
      <c r="H42" s="1" t="s">
        <v>0</v>
      </c>
    </row>
    <row r="43" ht="14.25" customHeight="1">
      <c r="A43" s="1" t="s">
        <v>1255</v>
      </c>
      <c r="D43" s="1" t="s">
        <v>1256</v>
      </c>
      <c r="H43" s="1" t="s">
        <v>0</v>
      </c>
      <c r="I43" s="1" t="str">
        <f>MID(A43,4,LEN(A43))</f>
        <v>Dignity</v>
      </c>
      <c r="J43" s="1" t="str">
        <f>VLOOKUP(MID(D43,1,LEN(D43)-2),BasicSkills!$B$1:$E$55,2,FALSE)</f>
        <v>CAR</v>
      </c>
      <c r="K43" s="1" t="str">
        <f>VLOOKUP(MID(D43,1,LEN(D43)-2),BasicSkills!$B$1:$E$55,3,FALSE)</f>
        <v>Support</v>
      </c>
      <c r="L43" s="1" t="str">
        <f>TRIM(MID(D43,1,LEN(D43)-2))</f>
        <v>Diplomacy</v>
      </c>
      <c r="M43" s="1" t="str">
        <f>A44</f>
        <v>little words are needed, a person with tremendous dignity is someone who can project a charming and confident self, its a basic skills to leaders and lords</v>
      </c>
    </row>
    <row r="44" ht="14.25" customHeight="1">
      <c r="A44" s="1" t="s">
        <v>870</v>
      </c>
      <c r="H44" s="1" t="s">
        <v>0</v>
      </c>
    </row>
    <row r="45" ht="14.25" customHeight="1">
      <c r="A45" s="1" t="s">
        <v>1257</v>
      </c>
      <c r="D45" s="1" t="s">
        <v>1258</v>
      </c>
      <c r="H45" s="1" t="s">
        <v>0</v>
      </c>
      <c r="I45" s="1" t="str">
        <f>MID(A45,4,LEN(A45))</f>
        <v>Basic Conversation</v>
      </c>
      <c r="J45" s="1" t="str">
        <f>VLOOKUP(MID(D45,1,LEN(D45)-2),BasicSkills!$B$1:$E$55,2,FALSE)</f>
        <v>CAR</v>
      </c>
      <c r="K45" s="1" t="str">
        <f>VLOOKUP(MID(D45,1,LEN(D45)-2),BasicSkills!$B$1:$E$55,3,FALSE)</f>
        <v>Support</v>
      </c>
      <c r="L45" s="1" t="str">
        <f>TRIM(MID(D45,1,LEN(D45)-2))</f>
        <v>Diplomacy</v>
      </c>
      <c r="M45" s="1" t="str">
        <f>A46</f>
        <v>the ability to establish a pleasant exchange in a festive enviroment, conversation is a high class hobby of most nobbles and usually it entails long dinners, with storytelling and good wit and sharing, its important to gain friends in high society</v>
      </c>
    </row>
    <row r="46" ht="14.25" customHeight="1">
      <c r="A46" s="1" t="s">
        <v>866</v>
      </c>
      <c r="H46" s="1" t="s">
        <v>0</v>
      </c>
    </row>
    <row r="47" ht="14.25" customHeight="1">
      <c r="A47" s="1" t="s">
        <v>1259</v>
      </c>
      <c r="D47" s="1" t="s">
        <v>1260</v>
      </c>
      <c r="H47" s="1" t="s">
        <v>0</v>
      </c>
      <c r="I47" s="1" t="str">
        <f>MID(A47,4,LEN(A47))</f>
        <v>Burocracy</v>
      </c>
      <c r="J47" s="1" t="str">
        <f>VLOOKUP(MID(D47,1,LEN(D47)-2),BasicSkills!$B$1:$E$55,2,FALSE)</f>
        <v>CAR</v>
      </c>
      <c r="K47" s="1" t="str">
        <f>VLOOKUP(MID(D47,1,LEN(D47)-2),BasicSkills!$B$1:$E$55,3,FALSE)</f>
        <v>Support</v>
      </c>
      <c r="L47" s="1" t="str">
        <f>TRIM(MID(D47,1,LEN(D47)-2))</f>
        <v>Diplomacy</v>
      </c>
      <c r="M47" s="1" t="str">
        <f>A48</f>
        <v>the ability to work in a efficient manner in the a company or state buroucracy</v>
      </c>
    </row>
    <row r="48" ht="14.25" customHeight="1">
      <c r="A48" s="1" t="s">
        <v>868</v>
      </c>
      <c r="H48" s="1" t="s">
        <v>0</v>
      </c>
    </row>
    <row r="49" ht="14.25" customHeight="1">
      <c r="A49" s="1" t="s">
        <v>1261</v>
      </c>
      <c r="D49" s="1" t="s">
        <v>1262</v>
      </c>
      <c r="H49" s="1" t="s">
        <v>0</v>
      </c>
      <c r="I49" s="1" t="str">
        <f>MID(A49,4,LEN(A49))</f>
        <v>Informant</v>
      </c>
      <c r="J49" s="1" t="str">
        <f>VLOOKUP(MID(D49,1,LEN(D49)-2),BasicSkills!$B$1:$E$55,2,FALSE)</f>
        <v>PER</v>
      </c>
      <c r="K49" s="1" t="str">
        <f>VLOOKUP(MID(D49,1,LEN(D49)-2),BasicSkills!$B$1:$E$55,3,FALSE)</f>
        <v>Support</v>
      </c>
      <c r="L49" s="1" t="str">
        <f>TRIM(MID(D49,1,LEN(D49)-2))</f>
        <v>Streetwise</v>
      </c>
      <c r="M49" s="1" t="str">
        <f>A50</f>
        <v>the ability to gather high class information and rummors, the user will be a able to quickly obtain news and details of happenings in a city scale region</v>
      </c>
    </row>
    <row r="50" ht="14.25" customHeight="1">
      <c r="A50" s="1" t="s">
        <v>974</v>
      </c>
      <c r="H50" s="1" t="s">
        <v>0</v>
      </c>
    </row>
    <row r="51" ht="14.25" customHeight="1">
      <c r="A51" s="1" t="s">
        <v>1263</v>
      </c>
      <c r="D51" s="1" t="s">
        <v>1264</v>
      </c>
      <c r="H51" s="1" t="s">
        <v>0</v>
      </c>
      <c r="I51" s="1" t="str">
        <f>MID(A51,4,LEN(A51))</f>
        <v>Underworld</v>
      </c>
      <c r="J51" s="1" t="str">
        <f>VLOOKUP(MID(D51,1,LEN(D51)-2),BasicSkills!$B$1:$E$55,2,FALSE)</f>
        <v>PER</v>
      </c>
      <c r="K51" s="1" t="str">
        <f>VLOOKUP(MID(D51,1,LEN(D51)-2),BasicSkills!$B$1:$E$55,3,FALSE)</f>
        <v>Support</v>
      </c>
      <c r="L51" s="1" t="str">
        <f>TRIM(MID(D51,1,LEN(D51)-2))</f>
        <v>Streetwise</v>
      </c>
      <c r="M51" s="1" t="str">
        <f>A52</f>
        <v>the ability to blend into the underworld, you can claim to be part of any gang or organized crime as long as you make some info gathering first</v>
      </c>
    </row>
    <row r="52" ht="14.25" customHeight="1">
      <c r="A52" s="1" t="s">
        <v>976</v>
      </c>
      <c r="H52" s="1" t="s">
        <v>0</v>
      </c>
    </row>
    <row r="53" ht="14.25" customHeight="1">
      <c r="A53" s="1" t="s">
        <v>1265</v>
      </c>
      <c r="D53" s="1" t="s">
        <v>1266</v>
      </c>
      <c r="H53" s="1" t="s">
        <v>0</v>
      </c>
      <c r="I53" s="1" t="str">
        <f>MID(A53,4,LEN(A53))</f>
        <v>Broker</v>
      </c>
      <c r="J53" s="1" t="str">
        <f>VLOOKUP(MID(D53,1,LEN(D53)-2),BasicSkills!$B$1:$E$55,2,FALSE)</f>
        <v>PER</v>
      </c>
      <c r="K53" s="1" t="str">
        <f>VLOOKUP(MID(D53,1,LEN(D53)-2),BasicSkills!$B$1:$E$55,3,FALSE)</f>
        <v>Support</v>
      </c>
      <c r="L53" s="1" t="str">
        <f>TRIM(MID(D53,1,LEN(D53)-2))</f>
        <v>Streetwise</v>
      </c>
      <c r="M53" s="1" t="str">
        <f>A54</f>
        <v>the ability to obtain assets from the street in a informal manner, you can buy drugs, illegal o forbidden materials or obtain vital information but everything has a price. Unlike "black market" this skill operates in the informal exchanges rather than organized transaction</v>
      </c>
    </row>
    <row r="54" ht="14.25" customHeight="1">
      <c r="A54" s="1" t="s">
        <v>972</v>
      </c>
      <c r="H54" s="1" t="s">
        <v>0</v>
      </c>
    </row>
    <row r="55" ht="14.25" customHeight="1">
      <c r="A55" s="1" t="s">
        <v>1267</v>
      </c>
      <c r="D55" s="1" t="s">
        <v>1268</v>
      </c>
      <c r="H55" s="1" t="s">
        <v>0</v>
      </c>
      <c r="I55" s="1" t="str">
        <f>MID(A55,4,LEN(A55))</f>
        <v>Masquerade</v>
      </c>
      <c r="J55" s="1" t="str">
        <f>VLOOKUP(MID(D55,1,LEN(D55)-2),BasicSkills!$B$1:$E$55,2,FALSE)</f>
        <v>CAR</v>
      </c>
      <c r="K55" s="1" t="str">
        <f>VLOOKUP(MID(D55,1,LEN(D55)-2),BasicSkills!$B$1:$E$55,3,FALSE)</f>
        <v>Support</v>
      </c>
      <c r="L55" s="1" t="str">
        <f>TRIM(MID(D55,1,LEN(D55)-2))</f>
        <v>Bluff</v>
      </c>
      <c r="M55" s="1" t="str">
        <f>A56</f>
        <v>Some people live two lives, one in the light with a public profile and other in the shadows, this is the ability to create a double life allowing the player to separate both and never be suspected</v>
      </c>
    </row>
    <row r="56" ht="14.25" customHeight="1">
      <c r="A56" s="1" t="s">
        <v>862</v>
      </c>
      <c r="H56" s="1" t="s">
        <v>0</v>
      </c>
    </row>
    <row r="57" ht="14.25" customHeight="1">
      <c r="A57" s="1" t="s">
        <v>1269</v>
      </c>
      <c r="D57" s="1" t="s">
        <v>1270</v>
      </c>
      <c r="H57" s="1" t="s">
        <v>0</v>
      </c>
      <c r="I57" s="1" t="str">
        <f>MID(A57,4,LEN(A57))</f>
        <v>Subterfuge</v>
      </c>
      <c r="J57" s="1" t="str">
        <f>VLOOKUP(MID(D57,1,LEN(D57)-2),BasicSkills!$B$1:$E$55,2,FALSE)</f>
        <v>CAR</v>
      </c>
      <c r="K57" s="1" t="str">
        <f>VLOOKUP(MID(D57,1,LEN(D57)-2),BasicSkills!$B$1:$E$55,3,FALSE)</f>
        <v>Support</v>
      </c>
      <c r="L57" s="1" t="str">
        <f>TRIM(MID(D57,1,LEN(D57)-2))</f>
        <v>Bluff</v>
      </c>
      <c r="M57" s="1" t="str">
        <f>A58</f>
        <v>You know how to conceal your own motives and project what you like. Furthermore, you can root out other people's motives, then use those motives against them</v>
      </c>
    </row>
    <row r="58" ht="14.25" customHeight="1">
      <c r="A58" s="1" t="s">
        <v>864</v>
      </c>
      <c r="H58" s="1" t="s">
        <v>0</v>
      </c>
    </row>
    <row r="59" ht="14.25" customHeight="1">
      <c r="A59" s="1" t="s">
        <v>1271</v>
      </c>
      <c r="D59" s="1" t="s">
        <v>1272</v>
      </c>
      <c r="H59" s="1" t="s">
        <v>0</v>
      </c>
      <c r="I59" s="1" t="str">
        <f>MID(A59,4,LEN(A59))</f>
        <v>Fawn</v>
      </c>
      <c r="J59" s="1" t="str">
        <f>VLOOKUP(MID(D59,1,LEN(D59)-2),BasicSkills!$B$1:$E$55,2,FALSE)</f>
        <v>CAR</v>
      </c>
      <c r="K59" s="1" t="str">
        <f>VLOOKUP(MID(D59,1,LEN(D59)-2),BasicSkills!$B$1:$E$55,3,FALSE)</f>
        <v>Support</v>
      </c>
      <c r="L59" s="1" t="str">
        <f>TRIM(MID(D59,1,LEN(D59)-2))</f>
        <v>Bluff</v>
      </c>
      <c r="M59" s="1" t="str">
        <f>A60</f>
        <v>the ability to adulate and curry into favor from people using sweet words and correct language, its imperative as a street etiquette for survival of the weak, it is limited to etiquettes known by the user. By spending time you can easily built a good relationship with most NPC. Fawn is seen as a despicable act by the more honorable or disciplined people, so be careful</v>
      </c>
    </row>
    <row r="60" ht="14.25" customHeight="1">
      <c r="A60" s="1" t="s">
        <v>860</v>
      </c>
      <c r="H60" s="1" t="s">
        <v>0</v>
      </c>
    </row>
    <row r="61" ht="14.25" customHeight="1">
      <c r="A61" s="1" t="s">
        <v>871</v>
      </c>
      <c r="D61" s="1" t="s">
        <v>1273</v>
      </c>
      <c r="H61" s="1" t="s">
        <v>0</v>
      </c>
      <c r="I61" s="1" t="str">
        <f>A61</f>
        <v>Negociator (Basic)</v>
      </c>
      <c r="J61" s="1" t="str">
        <f>VLOOKUP(MID(D61,1,LEN(D61)-2),BasicSkills!$B$1:$E$55,2,FALSE)</f>
        <v>CAR</v>
      </c>
      <c r="K61" s="1" t="str">
        <f>VLOOKUP(MID(D61,1,LEN(D61)-2),BasicSkills!$B$1:$E$55,3,FALSE)</f>
        <v>Support</v>
      </c>
      <c r="L61" s="1" t="str">
        <f>TRIM(MID(D61,1,LEN(D61)-2))</f>
        <v>Haggle</v>
      </c>
      <c r="M61" s="1" t="str">
        <f>A62</f>
        <v>Negociator is the ability to use your haggling skills to negotiate and mediate in most instances, You're a deal maker, you make a living in through negotiating difficult trade. Whatever your background you are an expert at the art of negotiations. Either born with a silvered tong or forged skills through a teacher and experience, you have an uncanny ability to find the best deal no matter the situation </v>
      </c>
    </row>
    <row r="62" ht="14.25" customHeight="1">
      <c r="A62" s="1" t="s">
        <v>872</v>
      </c>
      <c r="H62" s="1" t="s">
        <v>0</v>
      </c>
    </row>
    <row r="63" ht="14.25" customHeight="1">
      <c r="A63" s="1" t="s">
        <v>875</v>
      </c>
      <c r="D63" s="1" t="s">
        <v>1274</v>
      </c>
      <c r="H63" s="1" t="s">
        <v>0</v>
      </c>
      <c r="I63" s="1" t="str">
        <f>A63</f>
        <v>Swindler</v>
      </c>
      <c r="J63" s="1" t="str">
        <f>VLOOKUP(MID(D63,1,LEN(D63)-2),BasicSkills!$B$1:$E$55,2,FALSE)</f>
        <v>CAR</v>
      </c>
      <c r="K63" s="1" t="str">
        <f>VLOOKUP(MID(D63,1,LEN(D63)-2),BasicSkills!$B$1:$E$55,3,FALSE)</f>
        <v>Support</v>
      </c>
      <c r="L63" s="1" t="str">
        <f>TRIM(MID(D63,1,LEN(D63)-2))</f>
        <v>Haggle</v>
      </c>
      <c r="M63" s="1" t="str">
        <f>A64</f>
        <v>A swindler, is adept into making people buy low quality items and trash for excessive amounts, they are regarded poorly by the merchant community but they still make a fair bit of dough. Also character capable of buying and selling item illegal items and substances, he knows who and where to buy and can sell small illegal goods in a few hours of work. </v>
      </c>
    </row>
    <row r="64" ht="14.25" customHeight="1">
      <c r="A64" s="1" t="s">
        <v>876</v>
      </c>
      <c r="H64" s="1" t="s">
        <v>0</v>
      </c>
    </row>
    <row r="65" ht="14.25" customHeight="1">
      <c r="A65" s="1" t="s">
        <v>873</v>
      </c>
      <c r="D65" s="1" t="s">
        <v>1275</v>
      </c>
      <c r="H65" s="1" t="s">
        <v>0</v>
      </c>
      <c r="I65" s="1" t="str">
        <f>A65</f>
        <v>Salesman</v>
      </c>
      <c r="J65" s="1" t="str">
        <f>VLOOKUP(MID(D65,1,LEN(D65)-2),BasicSkills!$B$1:$E$55,2,FALSE)</f>
        <v>CAR</v>
      </c>
      <c r="K65" s="1" t="str">
        <f>VLOOKUP(MID(D65,1,LEN(D65)-2),BasicSkills!$B$1:$E$55,3,FALSE)</f>
        <v>Support</v>
      </c>
      <c r="L65" s="1" t="str">
        <f>TRIM(MID(D65,1,LEN(D65)-2))</f>
        <v>Haggle</v>
      </c>
      <c r="M65" s="1" t="str">
        <f>A66</f>
        <v>Salesman is the skill which embodies the art of performing advances on unsuspecting people in order to offer services and productos for purchases, its really efficient to break the first barriers onto most people, but its useless with hostile targets, however, salesmen build trust upon each and every sale so their customers become sort or less their own personal network.</v>
      </c>
    </row>
    <row r="66" ht="14.25" customHeight="1">
      <c r="A66" s="1" t="s">
        <v>874</v>
      </c>
      <c r="H66" s="1" t="s">
        <v>0</v>
      </c>
    </row>
    <row r="67" ht="14.25" customHeight="1">
      <c r="A67" s="1" t="s">
        <v>945</v>
      </c>
      <c r="D67" s="1" t="s">
        <v>1276</v>
      </c>
      <c r="H67" s="1" t="s">
        <v>0</v>
      </c>
      <c r="I67" s="1" t="str">
        <f>A67</f>
        <v>Lesser Anti-Forgery</v>
      </c>
      <c r="J67" s="1" t="str">
        <f>VLOOKUP(MID(D67,1,LEN(D67)-2),BasicSkills!$B$1:$E$55,2,FALSE)</f>
        <v>PER</v>
      </c>
      <c r="K67" s="1" t="str">
        <f>VLOOKUP(MID(D67,1,LEN(D67)-2),BasicSkills!$B$1:$E$55,3,FALSE)</f>
        <v>Support</v>
      </c>
      <c r="L67" s="1" t="str">
        <f>TRIM(MID(D67,1,LEN(D67)-2))</f>
        <v>Appraisal</v>
      </c>
      <c r="M67" s="1" t="str">
        <f>A68</f>
        <v>The ability to see throught fake items and similar counterfeit elements such as counterfeit money, smuggled items and similar items trying to pass as normal while beign imitations or fake.</v>
      </c>
    </row>
    <row r="68" ht="14.25" customHeight="1">
      <c r="A68" s="1" t="s">
        <v>946</v>
      </c>
      <c r="H68" s="1" t="s">
        <v>0</v>
      </c>
    </row>
    <row r="69" ht="14.25" customHeight="1">
      <c r="A69" s="1" t="s">
        <v>941</v>
      </c>
      <c r="D69" s="1" t="s">
        <v>1277</v>
      </c>
      <c r="H69" s="1" t="s">
        <v>0</v>
      </c>
      <c r="I69" s="1" t="str">
        <f>A69</f>
        <v>Human Assessment</v>
      </c>
      <c r="J69" s="1" t="str">
        <f>VLOOKUP(MID(D69,1,LEN(D69)-2),BasicSkills!$B$1:$E$55,2,FALSE)</f>
        <v>PER</v>
      </c>
      <c r="K69" s="1" t="str">
        <f>VLOOKUP(MID(D69,1,LEN(D69)-2),BasicSkills!$B$1:$E$55,3,FALSE)</f>
        <v>Support</v>
      </c>
      <c r="L69" s="1" t="str">
        <f>TRIM(MID(D69,1,LEN(D69)-2))</f>
        <v>Appraisal</v>
      </c>
      <c r="M69" s="1" t="str">
        <f>A70</f>
        <v>The ability to appraise humanoid qualities on a target, it is used mostly by slavers and slave comerce in order to determine the "quality" of a humanoid target. The skill provides extra information such as a physical conditions, underlying medical details, and any superficial information.</v>
      </c>
    </row>
    <row r="70" ht="14.25" customHeight="1">
      <c r="A70" s="1" t="s">
        <v>942</v>
      </c>
      <c r="H70" s="1" t="s">
        <v>0</v>
      </c>
    </row>
    <row r="71" ht="14.25" customHeight="1">
      <c r="A71" s="1" t="s">
        <v>943</v>
      </c>
      <c r="D71" s="1" t="s">
        <v>1278</v>
      </c>
      <c r="H71" s="1" t="s">
        <v>0</v>
      </c>
      <c r="I71" s="1" t="str">
        <f>A71</f>
        <v>Judgment (Item)</v>
      </c>
      <c r="J71" s="1" t="str">
        <f>VLOOKUP(MID(D71,1,LEN(D71)-2),BasicSkills!$B$1:$E$55,2,FALSE)</f>
        <v>PER</v>
      </c>
      <c r="K71" s="1" t="str">
        <f>VLOOKUP(MID(D71,1,LEN(D71)-2),BasicSkills!$B$1:$E$55,3,FALSE)</f>
        <v>Support</v>
      </c>
      <c r="L71" s="1" t="str">
        <f>TRIM(MID(D71,1,LEN(D71)-2))</f>
        <v>Appraisal</v>
      </c>
      <c r="M71" s="1" t="str">
        <f>A72</f>
        <v>The ability to understand items and products and class them into ranks and levels, it allows the user to understand items highlights and downsides of an item, moreover, a raise will allow the user to learn about the item from the market perspective such as rumors and basic superficial lore. It can be used to uncover an items basic abilties and passives, higher levels of the skill allow the user to know more </v>
      </c>
    </row>
    <row r="72" ht="14.25" customHeight="1">
      <c r="A72" s="1" t="s">
        <v>944</v>
      </c>
      <c r="H72" s="1" t="s">
        <v>0</v>
      </c>
    </row>
    <row r="73" ht="14.25" customHeight="1">
      <c r="A73" s="1" t="s">
        <v>1095</v>
      </c>
      <c r="D73" s="1" t="s">
        <v>1279</v>
      </c>
      <c r="H73" s="1" t="s">
        <v>0</v>
      </c>
      <c r="I73" s="1" t="str">
        <f>A73</f>
        <v>Barbarian Vandal Technique</v>
      </c>
      <c r="J73" s="1" t="str">
        <f>VLOOKUP(MID(D73,1,LEN(D73)-5),BasicSkills!$B$1:$E$55,2,FALSE)</f>
        <v>STR</v>
      </c>
      <c r="K73" s="1" t="str">
        <f>VLOOKUP(MID(D73,1,LEN(D73)-5),BasicSkills!$B$1:$E$55,3,FALSE)</f>
        <v>Core</v>
      </c>
      <c r="L73" s="1" t="str">
        <f>TRIM(MID(D73,1,LEN(D73)-5))</f>
        <v>Melee Weapons</v>
      </c>
      <c r="M73" s="1" t="str">
        <f>A74</f>
        <v>the technique used by barbarians in battle where the use of armor is sacrificed for higher movility while using either Great blades, Great Axes or Great maces. It offers bonus while not using any armor or battle cloth armor</v>
      </c>
    </row>
    <row r="74" ht="14.25" customHeight="1">
      <c r="A74" s="1" t="s">
        <v>1096</v>
      </c>
      <c r="H74" s="1" t="s">
        <v>0</v>
      </c>
      <c r="I74" s="1" t="s">
        <v>0</v>
      </c>
    </row>
    <row r="75" ht="14.25" customHeight="1">
      <c r="A75" s="1" t="s">
        <v>1101</v>
      </c>
      <c r="D75" s="1" t="s">
        <v>1279</v>
      </c>
      <c r="H75" s="1" t="s">
        <v>0</v>
      </c>
      <c r="I75" s="1" t="str">
        <f>A75</f>
        <v>Tower Soldier Technique</v>
      </c>
      <c r="J75" s="1" t="str">
        <f>VLOOKUP(MID(D75,1,LEN(D75)-5),BasicSkills!$B$1:$E$55,2,FALSE)</f>
        <v>STR</v>
      </c>
      <c r="K75" s="1" t="str">
        <f>VLOOKUP(MID(D75,1,LEN(D75)-5),BasicSkills!$B$1:$E$55,3,FALSE)</f>
        <v>Core</v>
      </c>
      <c r="L75" s="1" t="str">
        <f>TRIM(MID(D75,1,LEN(D75)-5))</f>
        <v>Melee Weapons</v>
      </c>
      <c r="M75" s="1" t="str">
        <f>A76</f>
        <v>the techique used by profesional heavy soldiers, who wield large weapons along with heavy armor. This is an entry level skill which uses only non-exotic two handed weapons such as great hammer, great sword, and heavy spear, it offers bonus while using heavy armor</v>
      </c>
    </row>
    <row r="76" ht="14.25" customHeight="1">
      <c r="A76" s="1" t="s">
        <v>1102</v>
      </c>
      <c r="H76" s="1" t="s">
        <v>0</v>
      </c>
      <c r="I76" s="1" t="s">
        <v>0</v>
      </c>
    </row>
    <row r="77" ht="14.25" customHeight="1">
      <c r="A77" s="1" t="s">
        <v>1097</v>
      </c>
      <c r="D77" s="1" t="s">
        <v>1280</v>
      </c>
      <c r="H77" s="1" t="s">
        <v>0</v>
      </c>
      <c r="I77" s="1" t="str">
        <f>A77</f>
        <v>Heavy Blade Technique </v>
      </c>
      <c r="J77" s="1" t="str">
        <f>VLOOKUP(MID(D77,1,LEN(D77)-5),BasicSkills!$B$1:$E$55,2,FALSE)</f>
        <v>STR</v>
      </c>
      <c r="K77" s="1" t="str">
        <f>VLOOKUP(MID(D77,1,LEN(D77)-5),BasicSkills!$B$1:$E$55,3,FALSE)</f>
        <v>Core</v>
      </c>
      <c r="L77" s="1" t="str">
        <f>TRIM(MID(D77,1,LEN(D77)-5))</f>
        <v>Melee Weapons</v>
      </c>
      <c r="M77" s="1" t="str">
        <f>A78</f>
        <v>The specialized use of heavy sword type weapons both in one hand and two hand forms, however, only heavy swords can be used with this technique</v>
      </c>
    </row>
    <row r="78" ht="14.25" customHeight="1">
      <c r="A78" s="1" t="s">
        <v>1098</v>
      </c>
      <c r="H78" s="1" t="s">
        <v>0</v>
      </c>
      <c r="I78" s="1" t="s">
        <v>0</v>
      </c>
    </row>
    <row r="79" ht="14.25" customHeight="1">
      <c r="A79" s="1" t="s">
        <v>1099</v>
      </c>
      <c r="D79" s="1" t="s">
        <v>1280</v>
      </c>
      <c r="H79" s="1" t="s">
        <v>0</v>
      </c>
      <c r="I79" s="1" t="str">
        <f>A79</f>
        <v>Heavy Spear Technique </v>
      </c>
      <c r="J79" s="1" t="str">
        <f>VLOOKUP(MID(D79,1,LEN(D79)-5),BasicSkills!$B$1:$E$55,2,FALSE)</f>
        <v>STR</v>
      </c>
      <c r="K79" s="1" t="str">
        <f>VLOOKUP(MID(D79,1,LEN(D79)-5),BasicSkills!$B$1:$E$55,3,FALSE)</f>
        <v>Core</v>
      </c>
      <c r="L79" s="1" t="str">
        <f>TRIM(MID(D79,1,LEN(D79)-5))</f>
        <v>Melee Weapons</v>
      </c>
      <c r="M79" s="1" t="str">
        <f>A80</f>
        <v>The specialized use of heavy spears type weapons both in one hand and two hand forms, however, only heavy spears can be used with this technique</v>
      </c>
    </row>
    <row r="80" ht="14.25" customHeight="1">
      <c r="A80" s="1" t="s">
        <v>1100</v>
      </c>
      <c r="H80" s="1" t="s">
        <v>0</v>
      </c>
      <c r="I80" s="1" t="s">
        <v>0</v>
      </c>
    </row>
    <row r="81" ht="14.25" customHeight="1">
      <c r="A81" s="1" t="s">
        <v>1093</v>
      </c>
      <c r="D81" s="1" t="s">
        <v>1280</v>
      </c>
      <c r="H81" s="1" t="s">
        <v>0</v>
      </c>
      <c r="I81" s="1" t="str">
        <f>A81</f>
        <v>Axeman Technique </v>
      </c>
      <c r="J81" s="1" t="str">
        <f>VLOOKUP(MID(D81,1,LEN(D81)-5),BasicSkills!$B$1:$E$55,2,FALSE)</f>
        <v>STR</v>
      </c>
      <c r="K81" s="1" t="str">
        <f>VLOOKUP(MID(D81,1,LEN(D81)-5),BasicSkills!$B$1:$E$55,3,FALSE)</f>
        <v>Core</v>
      </c>
      <c r="L81" s="1" t="str">
        <f>TRIM(MID(D81,1,LEN(D81)-5))</f>
        <v>Melee Weapons</v>
      </c>
      <c r="M81" s="1" t="str">
        <f>A82</f>
        <v>The specialized use of heavy axe type weapons both in one hand and two hand forms, however, only heavy axes can be used with this technique</v>
      </c>
    </row>
    <row r="82" ht="14.25" customHeight="1">
      <c r="A82" s="1" t="s">
        <v>1094</v>
      </c>
      <c r="H82" s="1" t="s">
        <v>0</v>
      </c>
      <c r="I82" s="1" t="s">
        <v>0</v>
      </c>
    </row>
    <row r="83" ht="14.25" customHeight="1">
      <c r="A83" s="1" t="s">
        <v>1073</v>
      </c>
      <c r="D83" s="1" t="s">
        <v>1281</v>
      </c>
      <c r="H83" s="1" t="s">
        <v>0</v>
      </c>
      <c r="I83" s="1" t="str">
        <f>A83</f>
        <v>Basic "Bear Guardian" Combat Method</v>
      </c>
      <c r="J83" s="1" t="str">
        <f>VLOOKUP(MID(D83,1,LEN(D83)-5),BasicSkills!$B$1:$E$55,2,FALSE)</f>
        <v>STR</v>
      </c>
      <c r="K83" s="1" t="str">
        <f>VLOOKUP(MID(D83,1,LEN(D83)-5),BasicSkills!$B$1:$E$55,3,FALSE)</f>
        <v>Core</v>
      </c>
      <c r="L83" s="1" t="str">
        <f>TRIM(MID(D83,1,LEN(D83)-5))</f>
        <v>Heavy Armor</v>
      </c>
      <c r="M83" s="1" t="str">
        <f>A84</f>
        <v>A combat method created by the Orc clans and turned into a methodical training system. It simply uses any type of middle type of armor and middle type shields to develop the user combat senses.  Only one combat method can be active at any time</v>
      </c>
    </row>
    <row r="84" ht="14.25" customHeight="1">
      <c r="A84" s="1" t="s">
        <v>1074</v>
      </c>
      <c r="H84" s="1" t="s">
        <v>0</v>
      </c>
      <c r="I84" s="1" t="s">
        <v>0</v>
      </c>
    </row>
    <row r="85" ht="14.25" customHeight="1">
      <c r="A85" s="1" t="s">
        <v>1079</v>
      </c>
      <c r="D85" s="1" t="s">
        <v>1282</v>
      </c>
      <c r="H85" s="1" t="s">
        <v>0</v>
      </c>
      <c r="I85" s="1" t="str">
        <f>A85</f>
        <v>IronClad Technique (Inter)</v>
      </c>
      <c r="J85" s="1" t="str">
        <f>VLOOKUP(MID(D85,1,LEN(D85)-5),BasicSkills!$B$1:$E$55,2,FALSE)</f>
        <v>STR</v>
      </c>
      <c r="K85" s="1" t="str">
        <f>VLOOKUP(MID(D85,1,LEN(D85)-5),BasicSkills!$B$1:$E$55,3,FALSE)</f>
        <v>Core</v>
      </c>
      <c r="L85" s="1" t="str">
        <f>TRIM(MID(D85,1,LEN(D85)-5))</f>
        <v>Heavy Armor</v>
      </c>
      <c r="M85" s="1" t="str">
        <f>A86</f>
        <v>A technique for users combining heavy armor and shield, its a technique which armonizes both armor and shield into a single style, only midle level shields and heavy armors can be used in this style.</v>
      </c>
    </row>
    <row r="86" ht="14.25" customHeight="1">
      <c r="A86" s="1" t="s">
        <v>1080</v>
      </c>
      <c r="H86" s="1" t="s">
        <v>0</v>
      </c>
      <c r="I86" s="1" t="s">
        <v>0</v>
      </c>
    </row>
    <row r="87" ht="14.25" customHeight="1">
      <c r="A87" s="1" t="s">
        <v>1077</v>
      </c>
      <c r="D87" s="1" t="s">
        <v>1282</v>
      </c>
      <c r="H87" s="1" t="s">
        <v>0</v>
      </c>
      <c r="I87" s="1" t="str">
        <f>A87</f>
        <v>Infantryman Armor Technique (Inter)</v>
      </c>
      <c r="J87" s="1" t="str">
        <f>VLOOKUP(MID(D87,1,LEN(D87)-5),BasicSkills!$B$1:$E$55,2,FALSE)</f>
        <v>STR</v>
      </c>
      <c r="K87" s="1" t="str">
        <f>VLOOKUP(MID(D87,1,LEN(D87)-5),BasicSkills!$B$1:$E$55,3,FALSE)</f>
        <v>Core</v>
      </c>
      <c r="L87" s="1" t="str">
        <f>TRIM(MID(D87,1,LEN(D87)-5))</f>
        <v>Heavy Armor</v>
      </c>
      <c r="M87" s="1" t="str">
        <f>A88</f>
        <v>A technique used by hybrid and Middle type armor used to defend a position. Its a technique which maximizes the defense of middle armor while keeping a moderate mobility, you could call it an all around armor mechanic used by most soldiers</v>
      </c>
    </row>
    <row r="88" ht="14.25" customHeight="1">
      <c r="A88" s="1" t="s">
        <v>1078</v>
      </c>
      <c r="H88" s="1" t="s">
        <v>0</v>
      </c>
      <c r="I88" s="1" t="s">
        <v>0</v>
      </c>
    </row>
    <row r="89" ht="14.25" customHeight="1">
      <c r="A89" s="1" t="s">
        <v>1081</v>
      </c>
      <c r="D89" s="1" t="s">
        <v>1283</v>
      </c>
      <c r="H89" s="1" t="s">
        <v>0</v>
      </c>
      <c r="I89" s="1" t="str">
        <f>A89</f>
        <v>Juggernaut Armor Technique (Inter)</v>
      </c>
      <c r="J89" s="1" t="str">
        <f>VLOOKUP(MID(D89,1,LEN(D89)-5),BasicSkills!$B$1:$E$55,2,FALSE)</f>
        <v>STR</v>
      </c>
      <c r="K89" s="1" t="str">
        <f>VLOOKUP(MID(D89,1,LEN(D89)-5),BasicSkills!$B$1:$E$55,3,FALSE)</f>
        <v>Core</v>
      </c>
      <c r="L89" s="1" t="str">
        <f>TRIM(MID(D89,1,LEN(D89)-5))</f>
        <v>Heavy Armor</v>
      </c>
      <c r="M89" s="1" t="str">
        <f>A90</f>
        <v>A technique used by heavy and colosal type of armors users, made to be slow but extremely durable, its classically refered as "tank" type technique</v>
      </c>
    </row>
    <row r="90" ht="14.25" customHeight="1">
      <c r="A90" s="1" t="s">
        <v>1082</v>
      </c>
      <c r="H90" s="1" t="s">
        <v>0</v>
      </c>
      <c r="I90" s="1" t="s">
        <v>0</v>
      </c>
    </row>
    <row r="91" ht="14.25" customHeight="1">
      <c r="A91" s="1" t="s">
        <v>1075</v>
      </c>
      <c r="D91" s="1" t="s">
        <v>1283</v>
      </c>
      <c r="H91" s="1" t="s">
        <v>0</v>
      </c>
      <c r="I91" s="1" t="str">
        <f>A91</f>
        <v>Heavy Shield Technique (Basic)</v>
      </c>
      <c r="J91" s="1" t="str">
        <f>VLOOKUP(MID(D91,1,LEN(D91)-5),BasicSkills!$B$1:$E$55,2,FALSE)</f>
        <v>STR</v>
      </c>
      <c r="K91" s="1" t="str">
        <f>VLOOKUP(MID(D91,1,LEN(D91)-5),BasicSkills!$B$1:$E$55,3,FALSE)</f>
        <v>Core</v>
      </c>
      <c r="L91" s="1" t="str">
        <f>TRIM(MID(D91,1,LEN(D91)-5))</f>
        <v>Heavy Armor</v>
      </c>
      <c r="M91" s="1" t="str">
        <f>A92</f>
        <v>A technique focuses on the use of large shields such as tower, knight and kite shields, including all middle and large shields. Its popular for knights and defenders</v>
      </c>
    </row>
    <row r="92" ht="14.25" customHeight="1">
      <c r="A92" s="1" t="s">
        <v>1076</v>
      </c>
      <c r="H92" s="1" t="s">
        <v>0</v>
      </c>
      <c r="I92" s="1" t="s">
        <v>0</v>
      </c>
    </row>
    <row r="93" ht="14.25" customHeight="1">
      <c r="A93" s="1" t="s">
        <v>985</v>
      </c>
      <c r="D93" s="1" t="s">
        <v>1284</v>
      </c>
      <c r="H93" s="1" t="s">
        <v>0</v>
      </c>
      <c r="I93" s="1" t="str">
        <f>A93</f>
        <v>Martial Temperance (Basic)</v>
      </c>
      <c r="J93" s="1" t="str">
        <f>VLOOKUP(MID(D93,1,LEN(D93)-5),BasicSkills!$B$1:$E$55,2,FALSE)</f>
        <v>WIL</v>
      </c>
      <c r="K93" s="1" t="str">
        <f>VLOOKUP(MID(D93,1,LEN(D93)-5),BasicSkills!$B$1:$E$55,3,FALSE)</f>
        <v>Support</v>
      </c>
      <c r="L93" s="1" t="str">
        <f>TRIM(MID(D93,1,LEN(D93)-5))</f>
        <v>Discipline</v>
      </c>
      <c r="M93" s="1" t="str">
        <f>A94</f>
        <v>A martial warrior cultivates not only the body but also their mind and spirit. This is martial temperament, skill focused on rejecting the outside influences to attain the level of abandonment of oneself</v>
      </c>
    </row>
    <row r="94" ht="14.25" customHeight="1">
      <c r="A94" s="1" t="s">
        <v>986</v>
      </c>
      <c r="H94" s="1" t="s">
        <v>0</v>
      </c>
      <c r="I94" s="1" t="s">
        <v>0</v>
      </c>
    </row>
    <row r="95" ht="14.25" customHeight="1">
      <c r="A95" s="1" t="s">
        <v>987</v>
      </c>
      <c r="D95" s="1" t="s">
        <v>1285</v>
      </c>
      <c r="H95" s="1" t="s">
        <v>0</v>
      </c>
      <c r="I95" s="1" t="str">
        <f>A95</f>
        <v>Soldier's Way (Inter)</v>
      </c>
      <c r="J95" s="1" t="str">
        <f>VLOOKUP(MID(D95,1,LEN(D95)-5),BasicSkills!$B$1:$E$55,2,FALSE)</f>
        <v>WIL</v>
      </c>
      <c r="K95" s="1" t="str">
        <f>VLOOKUP(MID(D95,1,LEN(D95)-5),BasicSkills!$B$1:$E$55,3,FALSE)</f>
        <v>Support</v>
      </c>
      <c r="L95" s="1" t="str">
        <f>TRIM(MID(D95,1,LEN(D95)-5))</f>
        <v>Discipline</v>
      </c>
      <c r="M95" s="1" t="str">
        <f>A96</f>
        <v>The way of the soldier, a discipline trained to endure harsh conditions and stand in battle witout loosing focus despite the battlefield natural chaos. </v>
      </c>
    </row>
    <row r="96" ht="14.25" customHeight="1">
      <c r="A96" s="1" t="s">
        <v>988</v>
      </c>
      <c r="H96" s="1" t="s">
        <v>0</v>
      </c>
      <c r="I96" s="1" t="s">
        <v>0</v>
      </c>
    </row>
    <row r="97" ht="14.25" customHeight="1">
      <c r="A97" s="1" t="s">
        <v>983</v>
      </c>
      <c r="D97" s="1" t="s">
        <v>1286</v>
      </c>
      <c r="H97" s="1" t="s">
        <v>0</v>
      </c>
      <c r="I97" s="1" t="str">
        <f>A97</f>
        <v>Bravery (Inter)</v>
      </c>
      <c r="J97" s="1" t="str">
        <f>VLOOKUP(MID(D97,1,LEN(D97)-5),BasicSkills!$B$1:$E$55,2,FALSE)</f>
        <v>WIL</v>
      </c>
      <c r="K97" s="1" t="str">
        <f>VLOOKUP(MID(D97,1,LEN(D97)-5),BasicSkills!$B$1:$E$55,3,FALSE)</f>
        <v>Support</v>
      </c>
      <c r="L97" s="1" t="str">
        <f>TRIM(MID(D97,1,LEN(D97)-5))</f>
        <v>Discipline</v>
      </c>
      <c r="M97" s="1" t="str">
        <f>A98</f>
        <v> a trained discipline can lead to confront the natural fears, thus becoming someone with great control over one's own weakness, this is mostly focused on fear and terror inducing attacks, but it also works to counter other heart affecting events in lesser measure</v>
      </c>
    </row>
    <row r="98" ht="14.25" customHeight="1">
      <c r="A98" s="1" t="s">
        <v>984</v>
      </c>
      <c r="H98" s="1" t="s">
        <v>0</v>
      </c>
      <c r="I98" s="1" t="s">
        <v>0</v>
      </c>
    </row>
    <row r="99" ht="14.25" customHeight="1">
      <c r="A99" s="1" t="s">
        <v>881</v>
      </c>
      <c r="D99" s="1" t="s">
        <v>1287</v>
      </c>
      <c r="H99" s="1" t="s">
        <v>0</v>
      </c>
      <c r="I99" s="1" t="str">
        <f>A99</f>
        <v>War Cry (basic)</v>
      </c>
      <c r="J99" s="1" t="str">
        <f>VLOOKUP(MID(D99,1,LEN(D99)-5),BasicSkills!$B$1:$E$55,2,FALSE)</f>
        <v>CAR</v>
      </c>
      <c r="K99" s="1" t="str">
        <f>VLOOKUP(MID(D99,1,LEN(D99)-5),BasicSkills!$B$1:$E$55,3,FALSE)</f>
        <v>Support</v>
      </c>
      <c r="L99" s="1" t="str">
        <f>TRIM(MID(D99,1,LEN(D99)-5))</f>
        <v>Intimidation</v>
      </c>
      <c r="M99" s="1" t="str">
        <f>A100</f>
        <v>an applied method of using intimidation by roaring or speaking loudly, its effective in the battlefield and sometimes outside of the battlefield</v>
      </c>
    </row>
    <row r="100" ht="14.25" customHeight="1">
      <c r="A100" s="1" t="s">
        <v>882</v>
      </c>
      <c r="H100" s="1" t="s">
        <v>0</v>
      </c>
      <c r="I100" s="1" t="s">
        <v>0</v>
      </c>
    </row>
    <row r="101" ht="14.25" customHeight="1">
      <c r="A101" s="1" t="s">
        <v>879</v>
      </c>
      <c r="D101" s="1" t="s">
        <v>1288</v>
      </c>
      <c r="H101" s="1" t="s">
        <v>0</v>
      </c>
      <c r="I101" s="1" t="str">
        <f>A101</f>
        <v>Undertaker (inter)</v>
      </c>
      <c r="J101" s="1" t="str">
        <f>VLOOKUP(MID(D101,1,LEN(D101)-5),BasicSkills!$B$1:$E$55,2,FALSE)</f>
        <v>CAR</v>
      </c>
      <c r="K101" s="1" t="str">
        <f>VLOOKUP(MID(D101,1,LEN(D101)-5),BasicSkills!$B$1:$E$55,3,FALSE)</f>
        <v>Support</v>
      </c>
      <c r="L101" s="1" t="str">
        <f>TRIM(MID(D101,1,LEN(D101)-5))</f>
        <v>Intimidation</v>
      </c>
      <c r="M101" s="1" t="str">
        <f>A102</f>
        <v>Fear is a useful tool for those who know how to use it, The manipulation of others through the use of threats, both stated and implied. you can interrogate, threaten and coerce others force them by the sheer strenght of your personality, or simply instill fear into them, however this skill weakens inside of the battlefield.</v>
      </c>
    </row>
    <row r="102" ht="14.25" customHeight="1">
      <c r="A102" s="1" t="s">
        <v>880</v>
      </c>
      <c r="H102" s="1" t="s">
        <v>0</v>
      </c>
      <c r="I102" s="1" t="s">
        <v>0</v>
      </c>
    </row>
    <row r="103" ht="14.25" customHeight="1">
      <c r="A103" s="1" t="s">
        <v>877</v>
      </c>
      <c r="D103" s="1" t="s">
        <v>1289</v>
      </c>
      <c r="H103" s="1" t="s">
        <v>0</v>
      </c>
      <c r="I103" s="1" t="str">
        <f>A103</f>
        <v>Menace (inter)</v>
      </c>
      <c r="J103" s="1" t="str">
        <f>VLOOKUP(MID(D103,1,LEN(D103)-5),BasicSkills!$B$1:$E$55,2,FALSE)</f>
        <v>CAR</v>
      </c>
      <c r="K103" s="1" t="str">
        <f>VLOOKUP(MID(D103,1,LEN(D103)-5),BasicSkills!$B$1:$E$55,3,FALSE)</f>
        <v>Support</v>
      </c>
      <c r="L103" s="1" t="str">
        <f>TRIM(MID(D103,1,LEN(D103)-5))</f>
        <v>Intimidation</v>
      </c>
      <c r="M103" s="1" t="str">
        <f>A104</f>
        <v>The ability to use intimidation effectively in battle related circumstances and overpower the enemy by using your body language and your actions rather than words, this skill becomes weak outside of battle</v>
      </c>
    </row>
    <row r="104" ht="14.25" customHeight="1">
      <c r="A104" s="1" t="s">
        <v>878</v>
      </c>
      <c r="H104" s="1" t="s">
        <v>0</v>
      </c>
      <c r="I104" s="1" t="s">
        <v>0</v>
      </c>
    </row>
    <row r="105" ht="14.25" customHeight="1">
      <c r="A105" s="1" t="s">
        <v>949</v>
      </c>
      <c r="D105" s="1" t="s">
        <v>1290</v>
      </c>
      <c r="H105" s="1" t="s">
        <v>0</v>
      </c>
      <c r="I105" s="1" t="str">
        <f>A105</f>
        <v>Guerrilla Warfare (Basic)</v>
      </c>
      <c r="J105" s="1" t="str">
        <f>VLOOKUP(MID(D105,1,LEN(D105)-5),BasicSkills!$B$1:$E$55,2,FALSE)</f>
        <v>PER</v>
      </c>
      <c r="K105" s="1" t="str">
        <f>VLOOKUP(MID(D105,1,LEN(D105)-5),BasicSkills!$B$1:$E$55,3,FALSE)</f>
        <v>Support</v>
      </c>
      <c r="L105" s="1" t="str">
        <f>TRIM(MID(D105,1,LEN(D105)-5))</f>
        <v>Battle</v>
      </c>
      <c r="M105" s="1" t="str">
        <f>A106</f>
        <v>use of specific military tactics including ambushes, sabotage, raids, petty warfare, hit-and-run tactics, and mobility, to fight a larger and less-mobile traditional military, it emphatizes heavily on sabotage and escape so it requieres certain knowledge of the battlefield and a good amount of movility.</v>
      </c>
    </row>
    <row r="106" ht="14.25" customHeight="1">
      <c r="A106" s="1" t="s">
        <v>950</v>
      </c>
      <c r="H106" s="1" t="s">
        <v>0</v>
      </c>
      <c r="I106" s="1" t="s">
        <v>0</v>
      </c>
    </row>
    <row r="107" ht="14.25" customHeight="1">
      <c r="A107" s="1" t="s">
        <v>951</v>
      </c>
      <c r="D107" s="1" t="s">
        <v>1291</v>
      </c>
      <c r="H107" s="1" t="s">
        <v>0</v>
      </c>
      <c r="I107" s="1" t="str">
        <f>A107</f>
        <v>Tactical Trickster (Inter)</v>
      </c>
      <c r="J107" s="1" t="str">
        <f>VLOOKUP(MID(D107,1,LEN(D107)-5),BasicSkills!$B$1:$E$55,2,FALSE)</f>
        <v>PER</v>
      </c>
      <c r="K107" s="1" t="str">
        <f>VLOOKUP(MID(D107,1,LEN(D107)-5),BasicSkills!$B$1:$E$55,3,FALSE)</f>
        <v>Support</v>
      </c>
      <c r="L107" s="1" t="str">
        <f>TRIM(MID(D107,1,LEN(D107)-5))</f>
        <v>Battle</v>
      </c>
      <c r="M107" s="1" t="str">
        <f>A108</f>
        <v>the use of tactics in order to influence the battlefield on a small unipersonal or group based conflicts. The trickster skill allows the user to perform tactical manouver in the battlefield to mislead the enemy and give him the wrong impresión, it can also be used to block other people tactical reading of a circumstance</v>
      </c>
    </row>
    <row r="108" ht="14.25" customHeight="1">
      <c r="A108" s="1" t="s">
        <v>952</v>
      </c>
      <c r="H108" s="1" t="s">
        <v>0</v>
      </c>
      <c r="I108" s="1" t="s">
        <v>0</v>
      </c>
    </row>
    <row r="109" ht="14.25" customHeight="1">
      <c r="A109" s="1" t="s">
        <v>947</v>
      </c>
      <c r="D109" s="1" t="s">
        <v>1292</v>
      </c>
      <c r="H109" s="1" t="s">
        <v>0</v>
      </c>
      <c r="I109" s="1" t="str">
        <f>A109</f>
        <v>Combat Coordination (inter)</v>
      </c>
      <c r="J109" s="1" t="str">
        <f>VLOOKUP(MID(D109,1,LEN(D109)-5),BasicSkills!$B$1:$E$55,2,FALSE)</f>
        <v>PER</v>
      </c>
      <c r="K109" s="1" t="str">
        <f>VLOOKUP(MID(D109,1,LEN(D109)-5),BasicSkills!$B$1:$E$55,3,FALSE)</f>
        <v>Support</v>
      </c>
      <c r="L109" s="1" t="str">
        <f>TRIM(MID(D109,1,LEN(D109)-5))</f>
        <v>Battle</v>
      </c>
      <c r="M109" s="1" t="str">
        <f>A110</f>
        <v>the skill to work in teams and exploit the potential of coordination in the battlefield, it includes coordinated manuvers, combination techniques or simply groupal actions. This skill bonus all forms of singular combinations where the user is part of the action at the individual level, however, groupal actions needs the user to be the leader in order for this skill to be effective</v>
      </c>
    </row>
    <row r="110" ht="14.25" customHeight="1">
      <c r="A110" s="1" t="s">
        <v>948</v>
      </c>
      <c r="H110" s="1" t="s">
        <v>0</v>
      </c>
      <c r="I110" s="1" t="s">
        <v>0</v>
      </c>
    </row>
    <row r="111" ht="14.25" customHeight="1">
      <c r="A111" s="1" t="s">
        <v>1007</v>
      </c>
      <c r="D111" s="1" t="s">
        <v>1293</v>
      </c>
      <c r="H111" s="1" t="s">
        <v>0</v>
      </c>
      <c r="I111" s="1" t="str">
        <f>A111</f>
        <v>Barbarian Scoundrel Technique</v>
      </c>
      <c r="J111" s="1" t="str">
        <f>VLOOKUP(MID(D111,1,LEN(D111)-5),BasicSkills!$B$1:$E$55,2,FALSE)</f>
        <v>AGI</v>
      </c>
      <c r="K111" s="1" t="str">
        <f>VLOOKUP(MID(D111,1,LEN(D111)-5),BasicSkills!$B$1:$E$55,3,FALSE)</f>
        <v>Core</v>
      </c>
      <c r="L111" s="1" t="str">
        <f>TRIM(MID(D111,1,LEN(D111)-5))</f>
        <v>Light Weapons</v>
      </c>
      <c r="M111" s="1" t="str">
        <f>A112</f>
        <v>the technique used by barbarians in battle where the use of armor is sacrificed for higher movility while using either Mid sized weapons of types blade and blunt. It offers bonus while not using any armor or battle cloth armor</v>
      </c>
    </row>
    <row r="112" ht="14.25" customHeight="1">
      <c r="A112" s="1" t="s">
        <v>1008</v>
      </c>
      <c r="H112" s="1" t="s">
        <v>0</v>
      </c>
      <c r="I112" s="1" t="s">
        <v>0</v>
      </c>
    </row>
    <row r="113" ht="14.25" customHeight="1">
      <c r="A113" s="1" t="s">
        <v>1011</v>
      </c>
      <c r="D113" s="1" t="s">
        <v>1293</v>
      </c>
      <c r="H113" s="1" t="s">
        <v>0</v>
      </c>
      <c r="I113" s="1" t="str">
        <f>A113</f>
        <v>Footman Technique</v>
      </c>
      <c r="J113" s="1" t="str">
        <f>VLOOKUP(MID(D113,1,LEN(D113)-5),BasicSkills!$B$1:$E$55,2,FALSE)</f>
        <v>AGI</v>
      </c>
      <c r="K113" s="1" t="str">
        <f>VLOOKUP(MID(D113,1,LEN(D113)-5),BasicSkills!$B$1:$E$55,3,FALSE)</f>
        <v>Core</v>
      </c>
      <c r="L113" s="1" t="str">
        <f>TRIM(MID(D113,1,LEN(D113)-5))</f>
        <v>Light Weapons</v>
      </c>
      <c r="M113" s="1" t="str">
        <f>A114</f>
        <v>the techique used by profesional infantry soldiers using light or middle armors, includes the use of a series of 5 weapons known as the infantry man classic weapons (Footman's Pike, Footman's Mace, Footman's Flail, Long sword and Javelin)  , this technique is capable of using any variation of these 5 weapon. These weapons are rather common in any army or guardpost and this technique offers bonus while using light or middle armors</v>
      </c>
    </row>
    <row r="114" ht="14.25" customHeight="1">
      <c r="A114" s="1" t="s">
        <v>1012</v>
      </c>
      <c r="H114" s="1" t="s">
        <v>0</v>
      </c>
      <c r="I114" s="1" t="s">
        <v>0</v>
      </c>
    </row>
    <row r="115" ht="14.25" customHeight="1">
      <c r="A115" s="1" t="s">
        <v>1015</v>
      </c>
      <c r="D115" s="1" t="s">
        <v>1294</v>
      </c>
      <c r="H115" s="1" t="s">
        <v>0</v>
      </c>
      <c r="I115" s="1" t="str">
        <f>A115</f>
        <v>Pikemen Technique </v>
      </c>
      <c r="J115" s="1" t="str">
        <f>VLOOKUP(MID(D115,1,LEN(D115)-5),BasicSkills!$B$1:$E$55,2,FALSE)</f>
        <v>AGI</v>
      </c>
      <c r="K115" s="1" t="str">
        <f>VLOOKUP(MID(D115,1,LEN(D115)-5),BasicSkills!$B$1:$E$55,3,FALSE)</f>
        <v>Core</v>
      </c>
      <c r="L115" s="1" t="str">
        <f>TRIM(MID(D115,1,LEN(D115)-5))</f>
        <v>Light Weapons</v>
      </c>
      <c r="M115" s="1" t="str">
        <f>A116</f>
        <v>The specialized use of one hand spear weapons and other piercing type weapons of any type weapons including both normal size and smaller sized weapons, however, only Light weapons can be used with this technique</v>
      </c>
    </row>
    <row r="116" ht="14.25" customHeight="1">
      <c r="A116" s="1" t="s">
        <v>1016</v>
      </c>
      <c r="H116" s="1" t="s">
        <v>0</v>
      </c>
      <c r="I116" s="1" t="s">
        <v>0</v>
      </c>
    </row>
    <row r="117" ht="14.25" customHeight="1">
      <c r="A117" s="1" t="s">
        <v>1009</v>
      </c>
      <c r="D117" s="1" t="s">
        <v>1294</v>
      </c>
      <c r="H117" s="1" t="s">
        <v>0</v>
      </c>
      <c r="I117" s="1" t="str">
        <f>A117</f>
        <v>Battle Hammer Technique </v>
      </c>
      <c r="J117" s="1" t="str">
        <f>VLOOKUP(MID(D117,1,LEN(D117)-5),BasicSkills!$B$1:$E$55,2,FALSE)</f>
        <v>AGI</v>
      </c>
      <c r="K117" s="1" t="str">
        <f>VLOOKUP(MID(D117,1,LEN(D117)-5),BasicSkills!$B$1:$E$55,3,FALSE)</f>
        <v>Core</v>
      </c>
      <c r="L117" s="1" t="str">
        <f>TRIM(MID(D117,1,LEN(D117)-5))</f>
        <v>Light Weapons</v>
      </c>
      <c r="M117" s="1" t="str">
        <f>A118</f>
        <v>The specialized use of one hand blunt weapons of any type weapons including both normal size and smaller sized weapons, however, only Light weapons can be used with this technique</v>
      </c>
    </row>
    <row r="118" ht="14.25" customHeight="1">
      <c r="A118" s="1" t="s">
        <v>1010</v>
      </c>
      <c r="H118" s="1" t="s">
        <v>0</v>
      </c>
      <c r="I118" s="1" t="s">
        <v>0</v>
      </c>
    </row>
    <row r="119" ht="14.25" customHeight="1">
      <c r="A119" s="1" t="s">
        <v>1013</v>
      </c>
      <c r="D119" s="1" t="s">
        <v>1294</v>
      </c>
      <c r="H119" s="1" t="s">
        <v>0</v>
      </c>
      <c r="I119" s="1" t="str">
        <f>A119</f>
        <v>Light Blade Technique </v>
      </c>
      <c r="J119" s="1" t="str">
        <f>VLOOKUP(MID(D119,1,LEN(D119)-5),BasicSkills!$B$1:$E$55,2,FALSE)</f>
        <v>AGI</v>
      </c>
      <c r="K119" s="1" t="str">
        <f>VLOOKUP(MID(D119,1,LEN(D119)-5),BasicSkills!$B$1:$E$55,3,FALSE)</f>
        <v>Core</v>
      </c>
      <c r="L119" s="1" t="str">
        <f>TRIM(MID(D119,1,LEN(D119)-5))</f>
        <v>Light Weapons</v>
      </c>
      <c r="M119" s="1" t="str">
        <f>A120</f>
        <v>The specialized use of one hand blade weapons of any type weapons including both normal size and smaller sized weapons, however, only Light weapons can be used with this technique</v>
      </c>
    </row>
    <row r="120" ht="14.25" customHeight="1">
      <c r="A120" s="1" t="s">
        <v>1014</v>
      </c>
      <c r="H120" s="1" t="s">
        <v>0</v>
      </c>
      <c r="I120" s="1" t="s">
        <v>0</v>
      </c>
    </row>
    <row r="121" ht="14.25" customHeight="1">
      <c r="A121" s="1" t="s">
        <v>1083</v>
      </c>
      <c r="D121" s="1" t="s">
        <v>1295</v>
      </c>
      <c r="H121" s="1" t="s">
        <v>0</v>
      </c>
      <c r="I121" s="1" t="str">
        <f>A121</f>
        <v>Basic "Snake Trooper" Combat Method</v>
      </c>
      <c r="J121" s="1" t="str">
        <f>VLOOKUP(MID(D121,1,LEN(D121)-5),BasicSkills!$B$1:$E$55,2,FALSE)</f>
        <v>STR</v>
      </c>
      <c r="K121" s="1" t="str">
        <f>VLOOKUP(MID(D121,1,LEN(D121)-5),BasicSkills!$B$1:$E$55,3,FALSE)</f>
        <v>Core</v>
      </c>
      <c r="L121" s="1" t="str">
        <f>TRIM(MID(D121,1,LEN(D121)-5))</f>
        <v>Light Armor</v>
      </c>
      <c r="M121" s="1" t="str">
        <f>A122</f>
        <v>A combat method created by the Dark Elven clans and turned into a methodical training system. It simply uses any type of Light type of armor and small shields to develop the user combat senses. Only one combat method can be active at any time </v>
      </c>
    </row>
    <row r="122" ht="14.25" customHeight="1">
      <c r="A122" s="1" t="s">
        <v>1084</v>
      </c>
      <c r="H122" s="1" t="s">
        <v>0</v>
      </c>
      <c r="I122" s="1" t="s">
        <v>0</v>
      </c>
    </row>
    <row r="123" ht="14.25" customHeight="1">
      <c r="A123" s="1" t="s">
        <v>1085</v>
      </c>
      <c r="D123" s="1" t="s">
        <v>1296</v>
      </c>
      <c r="H123" s="1" t="s">
        <v>0</v>
      </c>
      <c r="I123" s="1" t="str">
        <f>A123</f>
        <v>BlitzClad Technique (Inter)</v>
      </c>
      <c r="J123" s="1" t="str">
        <f>VLOOKUP(MID(D123,1,LEN(D123)-5),BasicSkills!$B$1:$E$55,2,FALSE)</f>
        <v>STR</v>
      </c>
      <c r="K123" s="1" t="str">
        <f>VLOOKUP(MID(D123,1,LEN(D123)-5),BasicSkills!$B$1:$E$55,3,FALSE)</f>
        <v>Core</v>
      </c>
      <c r="L123" s="1" t="str">
        <f>TRIM(MID(D123,1,LEN(D123)-5))</f>
        <v>Light Armor</v>
      </c>
      <c r="M123" s="1" t="str">
        <f>A124</f>
        <v>Its called the agile defender, a technique created for troops which need high movility while keeping the advantages of a shield, it mixes partial light armor with hand shields or assambly shields, to produce a shock troops stronger defense. Its used by ambrushers and guerrilla units</v>
      </c>
    </row>
    <row r="124" ht="14.25" customHeight="1">
      <c r="A124" s="1" t="s">
        <v>1086</v>
      </c>
      <c r="H124" s="1" t="s">
        <v>0</v>
      </c>
      <c r="I124" s="1" t="s">
        <v>0</v>
      </c>
    </row>
    <row r="125" ht="14.25" customHeight="1">
      <c r="A125" s="1" t="s">
        <v>1087</v>
      </c>
      <c r="D125" s="1" t="s">
        <v>1296</v>
      </c>
      <c r="H125" s="1" t="s">
        <v>0</v>
      </c>
      <c r="I125" s="1" t="str">
        <f>A125</f>
        <v>Gladiatior Armor Technique (Inter)</v>
      </c>
      <c r="J125" s="1" t="str">
        <f>VLOOKUP(MID(D125,1,LEN(D125)-5),BasicSkills!$B$1:$E$55,2,FALSE)</f>
        <v>STR</v>
      </c>
      <c r="K125" s="1" t="str">
        <f>VLOOKUP(MID(D125,1,LEN(D125)-5),BasicSkills!$B$1:$E$55,3,FALSE)</f>
        <v>Core</v>
      </c>
      <c r="L125" s="1" t="str">
        <f>TRIM(MID(D125,1,LEN(D125)-5))</f>
        <v>Light Armor</v>
      </c>
      <c r="M125" s="1" t="str">
        <f>A126</f>
        <v>A technique used by partial middle type armor or partial light armor used to cover the cover in a incomplete manner to keep movement at maxium at all times. Its a technique which maximizes the movility of the user by removing pieces of armor while keeping a moderate defense, you could call it specialized defense for attackers and damage dealers</v>
      </c>
    </row>
    <row r="126" ht="14.25" customHeight="1">
      <c r="A126" s="1" t="s">
        <v>1088</v>
      </c>
      <c r="H126" s="1" t="s">
        <v>0</v>
      </c>
      <c r="I126" s="1" t="s">
        <v>0</v>
      </c>
    </row>
    <row r="127" ht="14.25" customHeight="1">
      <c r="A127" s="1" t="s">
        <v>1091</v>
      </c>
      <c r="D127" s="1" t="s">
        <v>1297</v>
      </c>
      <c r="H127" s="1" t="s">
        <v>0</v>
      </c>
      <c r="I127" s="1" t="str">
        <f>A127</f>
        <v>Vanguard Armor Technique (Inter)</v>
      </c>
      <c r="J127" s="1" t="str">
        <f>VLOOKUP(MID(D127,1,LEN(D127)-5),BasicSkills!$B$1:$E$55,2,FALSE)</f>
        <v>STR</v>
      </c>
      <c r="K127" s="1" t="str">
        <f>VLOOKUP(MID(D127,1,LEN(D127)-5),BasicSkills!$B$1:$E$55,3,FALSE)</f>
        <v>Core</v>
      </c>
      <c r="L127" s="1" t="str">
        <f>TRIM(MID(D127,1,LEN(D127)-5))</f>
        <v>Light Armor</v>
      </c>
      <c r="M127" s="1" t="str">
        <f>A128</f>
        <v>A technique used by complete light armors users, made to keep movility and while keeping a high atack defense, its classically refered as the standart armor for most light infantry soldiers</v>
      </c>
    </row>
    <row r="128" ht="14.25" customHeight="1">
      <c r="A128" s="1" t="s">
        <v>1092</v>
      </c>
      <c r="H128" s="1" t="s">
        <v>0</v>
      </c>
      <c r="I128" s="1" t="s">
        <v>0</v>
      </c>
    </row>
    <row r="129" ht="14.25" customHeight="1">
      <c r="A129" s="1" t="s">
        <v>1089</v>
      </c>
      <c r="D129" s="1" t="s">
        <v>1297</v>
      </c>
      <c r="H129" s="1" t="s">
        <v>0</v>
      </c>
      <c r="I129" s="1" t="str">
        <f>A129</f>
        <v>Light Shield Technique (Basic)</v>
      </c>
      <c r="J129" s="1" t="str">
        <f>VLOOKUP(MID(D129,1,LEN(D129)-5),BasicSkills!$B$1:$E$55,2,FALSE)</f>
        <v>STR</v>
      </c>
      <c r="K129" s="1" t="str">
        <f>VLOOKUP(MID(D129,1,LEN(D129)-5),BasicSkills!$B$1:$E$55,3,FALSE)</f>
        <v>Core</v>
      </c>
      <c r="L129" s="1" t="str">
        <f>TRIM(MID(D129,1,LEN(D129)-5))</f>
        <v>Light Armor</v>
      </c>
      <c r="M129" s="1" t="str">
        <f>A130</f>
        <v>A technique focuses on the use of small shields such as rodela, small and hand shields, including all small and assambly shields. Its popular for soldiers and vanguards</v>
      </c>
    </row>
    <row r="130" ht="14.25" customHeight="1">
      <c r="A130" s="1" t="s">
        <v>1090</v>
      </c>
      <c r="H130" s="1" t="s">
        <v>0</v>
      </c>
      <c r="I130" s="1" t="s">
        <v>0</v>
      </c>
    </row>
    <row r="131" ht="14.25" customHeight="1">
      <c r="A131" s="1" t="s">
        <v>843</v>
      </c>
      <c r="D131" s="1" t="s">
        <v>1298</v>
      </c>
      <c r="H131" s="1" t="s">
        <v>0</v>
      </c>
      <c r="I131" s="1" t="str">
        <f>A131</f>
        <v>Hide in Plain Sight (Basic)</v>
      </c>
      <c r="J131" s="1" t="str">
        <f>VLOOKUP(MID(D131,1,LEN(D131)-5),BasicSkills!$B$1:$E$55,2,FALSE)</f>
        <v>AGI</v>
      </c>
      <c r="K131" s="1" t="str">
        <f>VLOOKUP(MID(D131,1,LEN(D131)-5),BasicSkills!$B$1:$E$55,3,FALSE)</f>
        <v>Support</v>
      </c>
      <c r="L131" s="1" t="str">
        <f>TRIM(MID(D131,1,LEN(D131)-5))</f>
        <v>Hide</v>
      </c>
      <c r="M131" s="1" t="str">
        <f>A132</f>
        <v>the ability to hide in plain sight by blending with the surroundings, this means that instead of hiding by using a cover the user is capable of blending with the active environment by performing actions which are appropiate to fit in with the surroundings, hide in plain sight is greatly influenced by the user outward appereance+C62</v>
      </c>
    </row>
    <row r="132" ht="14.25" customHeight="1">
      <c r="A132" s="1" t="s">
        <v>844</v>
      </c>
      <c r="H132" s="1" t="s">
        <v>0</v>
      </c>
      <c r="I132" s="1" t="s">
        <v>0</v>
      </c>
    </row>
    <row r="133" ht="14.25" customHeight="1">
      <c r="A133" s="1" t="s">
        <v>841</v>
      </c>
      <c r="D133" s="1" t="s">
        <v>1299</v>
      </c>
      <c r="H133" s="1" t="s">
        <v>0</v>
      </c>
      <c r="I133" s="1" t="str">
        <f>A133</f>
        <v>Cloak and Dagger (Intermediate)</v>
      </c>
      <c r="J133" s="1" t="str">
        <f>VLOOKUP(MID(D133,1,LEN(D133)-5),BasicSkills!$B$1:$E$55,2,FALSE)</f>
        <v>AGI</v>
      </c>
      <c r="K133" s="1" t="str">
        <f>VLOOKUP(MID(D133,1,LEN(D133)-5),BasicSkills!$B$1:$E$55,3,FALSE)</f>
        <v>Support</v>
      </c>
      <c r="L133" s="1" t="str">
        <f>TRIM(MID(D133,1,LEN(D133)-5))</f>
        <v>Hide</v>
      </c>
      <c r="M133" s="1" t="str">
        <f>A134</f>
        <v>the ability to perform acts of questionable nature and hide your trail, the skill is useful to counter investigation skills</v>
      </c>
    </row>
    <row r="134" ht="14.25" customHeight="1">
      <c r="A134" s="1" t="s">
        <v>842</v>
      </c>
      <c r="H134" s="1" t="s">
        <v>0</v>
      </c>
      <c r="I134" s="1" t="s">
        <v>0</v>
      </c>
    </row>
    <row r="135" ht="14.25" customHeight="1">
      <c r="A135" s="1" t="s">
        <v>839</v>
      </c>
      <c r="D135" s="1" t="s">
        <v>1300</v>
      </c>
      <c r="H135" s="1" t="s">
        <v>0</v>
      </c>
      <c r="I135" s="1" t="str">
        <f>A135</f>
        <v>Camoflague (Intermediate)</v>
      </c>
      <c r="J135" s="1" t="str">
        <f>VLOOKUP(MID(D135,1,LEN(D135)-5),BasicSkills!$B$1:$E$55,2,FALSE)</f>
        <v>AGI</v>
      </c>
      <c r="K135" s="1" t="str">
        <f>VLOOKUP(MID(D135,1,LEN(D135)-5),BasicSkills!$B$1:$E$55,3,FALSE)</f>
        <v>Support</v>
      </c>
      <c r="L135" s="1" t="str">
        <f>TRIM(MID(D135,1,LEN(D135)-5))</f>
        <v>Hide</v>
      </c>
      <c r="M135" s="1" t="str">
        <f>A136</f>
        <v>a rare version of hide, which adds the use of natural enviroment coverage to a greater effectivity in adition to hide basic cover qualities, it increases the cover value of a specific natural speciality which choosen upon taken this skill</v>
      </c>
    </row>
    <row r="136" ht="14.25" customHeight="1">
      <c r="A136" s="1" t="s">
        <v>840</v>
      </c>
      <c r="H136" s="1" t="s">
        <v>0</v>
      </c>
      <c r="I136" s="1" t="s">
        <v>0</v>
      </c>
    </row>
    <row r="137" ht="14.25" customHeight="1">
      <c r="A137" s="1" t="s">
        <v>845</v>
      </c>
      <c r="D137" s="1" t="s">
        <v>1301</v>
      </c>
      <c r="H137" s="1" t="s">
        <v>0</v>
      </c>
      <c r="I137" s="1" t="str">
        <f>A137</f>
        <v>Escapist (Inter)</v>
      </c>
      <c r="J137" s="1" t="str">
        <f>VLOOKUP(MID(D137,1,LEN(D137)-5),BasicSkills!$B$1:$E$55,2,FALSE)</f>
        <v>AGI</v>
      </c>
      <c r="K137" s="1" t="str">
        <f>VLOOKUP(MID(D137,1,LEN(D137)-5),BasicSkills!$B$1:$E$55,3,FALSE)</f>
        <v>Support</v>
      </c>
      <c r="L137" s="1" t="str">
        <f>TRIM(MID(D137,1,LEN(D137)-5))</f>
        <v>Sleight of Hand</v>
      </c>
      <c r="M137" s="1" t="str">
        <f>A138</f>
        <v>the skil to escape from binds such as ropes chain or simple grappling</v>
      </c>
    </row>
    <row r="138" ht="14.25" customHeight="1">
      <c r="A138" s="1" t="s">
        <v>846</v>
      </c>
      <c r="H138" s="1" t="s">
        <v>0</v>
      </c>
      <c r="I138" s="1" t="s">
        <v>0</v>
      </c>
    </row>
    <row r="139" ht="14.25" customHeight="1">
      <c r="A139" s="1" t="s">
        <v>847</v>
      </c>
      <c r="D139" s="1" t="s">
        <v>1302</v>
      </c>
      <c r="H139" s="1" t="s">
        <v>0</v>
      </c>
      <c r="I139" s="1" t="str">
        <f>A139</f>
        <v>Prestidigitation</v>
      </c>
      <c r="J139" s="1" t="str">
        <f>VLOOKUP(MID(D139,1,LEN(D139)-5),BasicSkills!$B$1:$E$55,2,FALSE)</f>
        <v>AGI</v>
      </c>
      <c r="K139" s="1" t="str">
        <f>VLOOKUP(MID(D139,1,LEN(D139)-5),BasicSkills!$B$1:$E$55,3,FALSE)</f>
        <v>Support</v>
      </c>
      <c r="L139" s="1" t="str">
        <f>TRIM(MID(D139,1,LEN(D139)-5))</f>
        <v>Sleight of Hand</v>
      </c>
      <c r="M139" s="1" t="str">
        <f>A140</f>
        <v>refers to fine motor skills when used by performing artists in different art forms to entertain or manipulate. It is closely associated with close-up magic, card magic, card flourishing and stealing. Because of its heavy use and practice by magicians, sleight of hand is often confused as a branch of magic</v>
      </c>
    </row>
    <row r="140" ht="14.25" customHeight="1">
      <c r="A140" s="1" t="s">
        <v>848</v>
      </c>
      <c r="H140" s="1" t="s">
        <v>0</v>
      </c>
      <c r="I140" s="1" t="s">
        <v>0</v>
      </c>
    </row>
    <row r="141" ht="14.25" customHeight="1">
      <c r="A141" s="1" t="s">
        <v>849</v>
      </c>
      <c r="D141" s="1" t="s">
        <v>1303</v>
      </c>
      <c r="H141" s="1" t="s">
        <v>0</v>
      </c>
      <c r="I141" s="1" t="str">
        <f>A141</f>
        <v>Thievery</v>
      </c>
      <c r="J141" s="1" t="str">
        <f>VLOOKUP(MID(D141,1,LEN(D141)-5),BasicSkills!$B$1:$E$55,2,FALSE)</f>
        <v>AGI</v>
      </c>
      <c r="K141" s="1" t="str">
        <f>VLOOKUP(MID(D141,1,LEN(D141)-5),BasicSkills!$B$1:$E$55,3,FALSE)</f>
        <v>Support</v>
      </c>
      <c r="L141" s="1" t="str">
        <f>TRIM(MID(D141,1,LEN(D141)-5))</f>
        <v>Sleight of Hand</v>
      </c>
      <c r="M141" s="1" t="str">
        <f>A142</f>
        <v>The ability to substract elements from a person without his knowledge, its a classic</v>
      </c>
    </row>
    <row r="142" ht="14.25" customHeight="1">
      <c r="A142" s="1" t="s">
        <v>850</v>
      </c>
      <c r="H142" s="1" t="s">
        <v>0</v>
      </c>
      <c r="I142" s="1" t="s">
        <v>0</v>
      </c>
    </row>
    <row r="143" ht="14.25" customHeight="1">
      <c r="A143" s="1" t="s">
        <v>917</v>
      </c>
      <c r="D143" s="1" t="s">
        <v>1304</v>
      </c>
      <c r="H143" s="1" t="s">
        <v>0</v>
      </c>
      <c r="I143" s="1" t="str">
        <f>A143</f>
        <v>Security Adept (Basic)</v>
      </c>
      <c r="J143" s="1" t="str">
        <f>VLOOKUP(MID(D143,1,LEN(D143)-5),BasicSkills!$B$1:$E$55,2,FALSE)</f>
        <v>INT</v>
      </c>
      <c r="K143" s="1" t="str">
        <f>VLOOKUP(MID(D143,1,LEN(D143)-5),BasicSkills!$B$1:$E$55,3,FALSE)</f>
        <v>Support</v>
      </c>
      <c r="L143" s="1" t="str">
        <f>TRIM(MID(D143,1,LEN(D143)-5))</f>
        <v>Lockpick</v>
      </c>
      <c r="M143" s="1" t="str">
        <f>A144</f>
        <v>the skill to understand security breaches and analyze how to best protect a enclosed location</v>
      </c>
    </row>
    <row r="144" ht="14.25" customHeight="1">
      <c r="A144" s="1" t="s">
        <v>918</v>
      </c>
      <c r="H144" s="1" t="s">
        <v>0</v>
      </c>
      <c r="I144" s="1" t="s">
        <v>0</v>
      </c>
    </row>
    <row r="145" ht="14.25" customHeight="1">
      <c r="A145" s="1" t="s">
        <v>915</v>
      </c>
      <c r="D145" s="1" t="s">
        <v>1305</v>
      </c>
      <c r="H145" s="1" t="s">
        <v>0</v>
      </c>
      <c r="I145" s="1" t="str">
        <f>A145</f>
        <v>Sabotague</v>
      </c>
      <c r="J145" s="1" t="str">
        <f>VLOOKUP(MID(D145,1,LEN(D145)-5),BasicSkills!$B$1:$E$55,2,FALSE)</f>
        <v>INT</v>
      </c>
      <c r="K145" s="1" t="str">
        <f>VLOOKUP(MID(D145,1,LEN(D145)-5),BasicSkills!$B$1:$E$55,3,FALSE)</f>
        <v>Support</v>
      </c>
      <c r="L145" s="1" t="str">
        <f>TRIM(MID(D145,1,LEN(D145)-5))</f>
        <v>Lockpick</v>
      </c>
      <c r="M145" s="1" t="str">
        <f>A146</f>
        <v>the ability to break down and produce malfunction on simple mechanical devises</v>
      </c>
    </row>
    <row r="146" ht="14.25" customHeight="1">
      <c r="A146" s="1" t="s">
        <v>916</v>
      </c>
      <c r="H146" s="1" t="s">
        <v>0</v>
      </c>
      <c r="I146" s="1" t="s">
        <v>0</v>
      </c>
    </row>
    <row r="147" ht="14.25" customHeight="1">
      <c r="A147" s="1" t="s">
        <v>913</v>
      </c>
      <c r="D147" s="1" t="s">
        <v>1306</v>
      </c>
      <c r="H147" s="1" t="s">
        <v>0</v>
      </c>
      <c r="I147" s="1" t="str">
        <f>A147</f>
        <v>Adept Lockpicking (Inter)</v>
      </c>
      <c r="J147" s="1" t="str">
        <f>VLOOKUP(MID(D147,1,LEN(D147)-5),BasicSkills!$B$1:$E$55,2,FALSE)</f>
        <v>INT</v>
      </c>
      <c r="K147" s="1" t="str">
        <f>VLOOKUP(MID(D147,1,LEN(D147)-5),BasicSkills!$B$1:$E$55,3,FALSE)</f>
        <v>Support</v>
      </c>
      <c r="L147" s="1" t="str">
        <f>TRIM(MID(D147,1,LEN(D147)-5))</f>
        <v>Lockpick</v>
      </c>
      <c r="M147" s="1" t="str">
        <f>A148</f>
        <v>the ability to open adept level devises such as professional locks or 2nd tier locks</v>
      </c>
    </row>
    <row r="148" ht="14.25" customHeight="1">
      <c r="A148" s="1" t="s">
        <v>914</v>
      </c>
      <c r="H148" s="1" t="s">
        <v>0</v>
      </c>
      <c r="I148" s="1" t="s">
        <v>0</v>
      </c>
    </row>
    <row r="149" ht="14.25" customHeight="1">
      <c r="A149" s="1" t="s">
        <v>1065</v>
      </c>
      <c r="D149" s="1" t="s">
        <v>1307</v>
      </c>
      <c r="H149" s="1" t="s">
        <v>0</v>
      </c>
      <c r="I149" s="1" t="str">
        <f>A149</f>
        <v>Basic "Falcon Warrior" Combat Method</v>
      </c>
      <c r="J149" s="1" t="str">
        <f>VLOOKUP(MID(D149,1,LEN(D149)-5),BasicSkills!$B$1:$E$55,2,FALSE)</f>
        <v>PER</v>
      </c>
      <c r="K149" s="1" t="str">
        <f>VLOOKUP(MID(D149,1,LEN(D149)-5),BasicSkills!$B$1:$E$55,3,FALSE)</f>
        <v>Core</v>
      </c>
      <c r="L149" s="1" t="str">
        <f>TRIM(MID(D149,1,LEN(D149)-5))</f>
        <v>Projectile Weapons</v>
      </c>
      <c r="M149" s="1" t="str">
        <f>A150</f>
        <v>A combat method created by the Elven clans and turned into a methodical training system. It simply uses any type of short ranged projectile weapon such as the short bow, hand crossbow or the throwing blades to empower the user combat sense. Only one combat method can be active at any time</v>
      </c>
    </row>
    <row r="150" ht="14.25" customHeight="1">
      <c r="A150" s="1" t="s">
        <v>1066</v>
      </c>
      <c r="H150" s="1" t="s">
        <v>0</v>
      </c>
      <c r="I150" s="1" t="s">
        <v>0</v>
      </c>
    </row>
    <row r="151" ht="14.25" customHeight="1">
      <c r="A151" s="1" t="s">
        <v>1063</v>
      </c>
      <c r="D151" s="1" t="s">
        <v>1308</v>
      </c>
      <c r="H151" s="1" t="s">
        <v>0</v>
      </c>
      <c r="I151" s="1" t="str">
        <f>A151</f>
        <v>Barbarian Chaser Technique</v>
      </c>
      <c r="J151" s="1" t="str">
        <f>VLOOKUP(MID(D151,1,LEN(D151)-5),BasicSkills!$B$1:$E$55,2,FALSE)</f>
        <v>PER</v>
      </c>
      <c r="K151" s="1" t="str">
        <f>VLOOKUP(MID(D151,1,LEN(D151)-5),BasicSkills!$B$1:$E$55,3,FALSE)</f>
        <v>Core</v>
      </c>
      <c r="L151" s="1" t="str">
        <f>TRIM(MID(D151,1,LEN(D151)-5))</f>
        <v>Projectile Weapons</v>
      </c>
      <c r="M151" s="1" t="str">
        <f>A152</f>
        <v>the technique used by barbarians in battle where the use of armor is sacrificed for higher movility while using either short bow, hunting bow or throwing knives. It offers bonus while not using any armor or battle cloth armor</v>
      </c>
    </row>
    <row r="152" ht="14.25" customHeight="1">
      <c r="A152" s="1" t="s">
        <v>1064</v>
      </c>
      <c r="H152" s="1" t="s">
        <v>0</v>
      </c>
      <c r="I152" s="1" t="s">
        <v>0</v>
      </c>
    </row>
    <row r="153" ht="14.25" customHeight="1">
      <c r="A153" s="1" t="s">
        <v>1061</v>
      </c>
      <c r="D153" s="1" t="s">
        <v>1308</v>
      </c>
      <c r="H153" s="1" t="s">
        <v>0</v>
      </c>
      <c r="I153" s="1" t="str">
        <f>A153</f>
        <v>Arbalist Technique</v>
      </c>
      <c r="J153" s="1" t="str">
        <f>VLOOKUP(MID(D153,1,LEN(D153)-5),BasicSkills!$B$1:$E$55,2,FALSE)</f>
        <v>PER</v>
      </c>
      <c r="K153" s="1" t="str">
        <f>VLOOKUP(MID(D153,1,LEN(D153)-5),BasicSkills!$B$1:$E$55,3,FALSE)</f>
        <v>Core</v>
      </c>
      <c r="L153" s="1" t="str">
        <f>TRIM(MID(D153,1,LEN(D153)-5))</f>
        <v>Projectile Weapons</v>
      </c>
      <c r="M153" s="1" t="str">
        <f>A154</f>
        <v>The specialized use of crossbows in all of their portatile variety from hand crossbows to heavy mounted crossbows, however, it excludes siege weapons such as ballistae or large mounted weapons. This skill attribute is PER for any rolls, however it is usable with bows with AGI attribute with no penalty</v>
      </c>
    </row>
    <row r="154" ht="14.25" customHeight="1">
      <c r="A154" s="1" t="s">
        <v>1062</v>
      </c>
      <c r="H154" s="1" t="s">
        <v>0</v>
      </c>
      <c r="I154" s="1" t="s">
        <v>0</v>
      </c>
    </row>
    <row r="155" ht="14.25" customHeight="1">
      <c r="A155" s="1" t="s">
        <v>1067</v>
      </c>
      <c r="D155" s="1" t="s">
        <v>1309</v>
      </c>
      <c r="H155" s="1" t="s">
        <v>0</v>
      </c>
      <c r="I155" s="1" t="str">
        <f>A155</f>
        <v>Bowman Technique</v>
      </c>
      <c r="J155" s="1" t="str">
        <f>VLOOKUP(MID(D155,1,LEN(D155)-5),BasicSkills!$B$1:$E$55,2,FALSE)</f>
        <v>PER</v>
      </c>
      <c r="K155" s="1" t="str">
        <f>VLOOKUP(MID(D155,1,LEN(D155)-5),BasicSkills!$B$1:$E$55,3,FALSE)</f>
        <v>Core</v>
      </c>
      <c r="L155" s="1" t="str">
        <f>TRIM(MID(D155,1,LEN(D155)-5))</f>
        <v>Projectile Weapons</v>
      </c>
      <c r="M155" s="1" t="str">
        <f>A156</f>
        <v>The specialized use of middle and short range bows such as the short bow or the hunting bow, it excludes long range bows such as the long and great bows.</v>
      </c>
    </row>
    <row r="156" ht="14.25" customHeight="1">
      <c r="A156" s="1" t="s">
        <v>1068</v>
      </c>
      <c r="H156" s="1" t="s">
        <v>0</v>
      </c>
      <c r="I156" s="1" t="s">
        <v>0</v>
      </c>
    </row>
    <row r="157" ht="14.25" customHeight="1">
      <c r="A157" s="1" t="s">
        <v>1069</v>
      </c>
      <c r="D157" s="1" t="s">
        <v>1309</v>
      </c>
      <c r="H157" s="1" t="s">
        <v>0</v>
      </c>
      <c r="I157" s="1" t="str">
        <f>A157</f>
        <v>Crossbow Infantry Technique</v>
      </c>
      <c r="J157" s="1" t="str">
        <f>VLOOKUP(MID(D157,1,LEN(D157)-5),BasicSkills!$B$1:$E$55,2,FALSE)</f>
        <v>PER</v>
      </c>
      <c r="K157" s="1" t="str">
        <f>VLOOKUP(MID(D157,1,LEN(D157)-5),BasicSkills!$B$1:$E$55,3,FALSE)</f>
        <v>Core</v>
      </c>
      <c r="L157" s="1" t="str">
        <f>TRIM(MID(D157,1,LEN(D157)-5))</f>
        <v>Projectile Weapons</v>
      </c>
      <c r="M157" s="1" t="str">
        <f>A158</f>
        <v>the technique used by by crossbow infantry soldiers or simply cross-bowmen, its a technique focused on the usage of light or winding crossbow and any similar crossbow in size and weight ranged, with light armor in order assamble a strong soldier unit. The technique is an all around technique and its the most popular ranged technique for soldiers and guards</v>
      </c>
    </row>
    <row r="158" ht="14.25" customHeight="1">
      <c r="A158" s="1" t="s">
        <v>1070</v>
      </c>
      <c r="H158" s="1" t="s">
        <v>0</v>
      </c>
      <c r="I158" s="1" t="s">
        <v>0</v>
      </c>
    </row>
    <row r="159" ht="14.25" customHeight="1">
      <c r="A159" s="1" t="s">
        <v>1071</v>
      </c>
      <c r="D159" s="1" t="s">
        <v>1309</v>
      </c>
      <c r="H159" s="1" t="s">
        <v>0</v>
      </c>
      <c r="I159" s="1" t="str">
        <f>A159</f>
        <v>Point Blank Technique</v>
      </c>
      <c r="J159" s="1" t="str">
        <f>VLOOKUP(MID(D159,1,LEN(D159)-5),BasicSkills!$B$1:$E$55,2,FALSE)</f>
        <v>PER</v>
      </c>
      <c r="K159" s="1" t="str">
        <f>VLOOKUP(MID(D159,1,LEN(D159)-5),BasicSkills!$B$1:$E$55,3,FALSE)</f>
        <v>Core</v>
      </c>
      <c r="L159" s="1" t="str">
        <f>TRIM(MID(D159,1,LEN(D159)-5))</f>
        <v>Projectile Weapons</v>
      </c>
      <c r="M159" s="1" t="str">
        <f>A160</f>
        <v>The specialized use of short and hand bows used when used under melee conditions, it excludes long range bows such as the long and great bows, medium bows such as the hunting bow.</v>
      </c>
    </row>
    <row r="160" ht="14.25" customHeight="1">
      <c r="A160" s="1" t="s">
        <v>1072</v>
      </c>
      <c r="H160" s="1" t="s">
        <v>0</v>
      </c>
      <c r="I160" s="1" t="s">
        <v>0</v>
      </c>
    </row>
    <row r="161" ht="14.25" customHeight="1">
      <c r="A161" s="1" t="s">
        <v>1021</v>
      </c>
      <c r="D161" s="1" t="s">
        <v>1310</v>
      </c>
      <c r="H161" s="1" t="s">
        <v>0</v>
      </c>
      <c r="I161" s="1" t="str">
        <f>A161</f>
        <v>Lesser Nature Spirit Summoning</v>
      </c>
      <c r="J161" s="1" t="str">
        <f>VLOOKUP(MID(D161,1,LEN(D161)-5),BasicSkills!$B$1:$E$55,2,FALSE)</f>
        <v>CAR</v>
      </c>
      <c r="K161" s="1" t="str">
        <f>VLOOKUP(MID(D161,1,LEN(D161)-5),BasicSkills!$B$1:$E$55,3,FALSE)</f>
        <v>Core</v>
      </c>
      <c r="L161" s="1" t="str">
        <f>TRIM(MID(D161,1,LEN(D161)-5))</f>
        <v>Nature Focus</v>
      </c>
      <c r="M161" s="1" t="str">
        <f>A162</f>
        <v>the ability to summon spirits using Nature focus, harmony and offerings, its a classical staple of druids and rangers</v>
      </c>
    </row>
    <row r="162" ht="14.25" customHeight="1">
      <c r="A162" s="1" t="s">
        <v>1022</v>
      </c>
      <c r="H162" s="1" t="s">
        <v>0</v>
      </c>
      <c r="I162" s="1" t="s">
        <v>0</v>
      </c>
    </row>
    <row r="163" ht="14.25" customHeight="1">
      <c r="A163" s="1" t="s">
        <v>1017</v>
      </c>
      <c r="D163" s="1" t="s">
        <v>1311</v>
      </c>
      <c r="H163" s="1" t="s">
        <v>0</v>
      </c>
      <c r="I163" s="1" t="str">
        <f>A163</f>
        <v>Basic, Green Blessing</v>
      </c>
      <c r="J163" s="1" t="str">
        <f>VLOOKUP(MID(D163,1,LEN(D163)-5),BasicSkills!$B$1:$E$55,2,FALSE)</f>
        <v>CAR</v>
      </c>
      <c r="K163" s="1" t="str">
        <f>VLOOKUP(MID(D163,1,LEN(D163)-5),BasicSkills!$B$1:$E$55,3,FALSE)</f>
        <v>Core</v>
      </c>
      <c r="L163" s="1" t="str">
        <f>TRIM(MID(D163,1,LEN(D163)-5))</f>
        <v>Nature Focus</v>
      </c>
      <c r="M163" s="1" t="str">
        <f>A164</f>
        <v>The power to channel energy of the "green" or Natural Force, this channel can be used to cast basic power. Green energy depends on the land and location, each landscape has some life and thus Green energy</v>
      </c>
    </row>
    <row r="164" ht="14.25" customHeight="1">
      <c r="A164" s="1" t="s">
        <v>1018</v>
      </c>
      <c r="H164" s="1" t="s">
        <v>0</v>
      </c>
      <c r="I164" s="1" t="s">
        <v>0</v>
      </c>
    </row>
    <row r="165" ht="14.25" customHeight="1">
      <c r="A165" s="1" t="s">
        <v>1023</v>
      </c>
      <c r="D165" s="1" t="s">
        <v>1311</v>
      </c>
      <c r="H165" s="1" t="s">
        <v>0</v>
      </c>
      <c r="I165" s="1" t="str">
        <f>A165</f>
        <v>Natural Body Focus</v>
      </c>
      <c r="J165" s="1" t="str">
        <f>VLOOKUP(MID(D165,1,LEN(D165)-5),BasicSkills!$B$1:$E$55,2,FALSE)</f>
        <v>CAR</v>
      </c>
      <c r="K165" s="1" t="str">
        <f>VLOOKUP(MID(D165,1,LEN(D165)-5),BasicSkills!$B$1:$E$55,3,FALSE)</f>
        <v>Core</v>
      </c>
      <c r="L165" s="1" t="str">
        <f>TRIM(MID(D165,1,LEN(D165)-5))</f>
        <v>Nature Focus</v>
      </c>
      <c r="M165" s="1" t="str">
        <f>A166</f>
        <v>the ability to conect with nature and strenghten your body by harmonizing with the natural energy</v>
      </c>
    </row>
    <row r="166" ht="14.25" customHeight="1">
      <c r="A166" s="1" t="s">
        <v>1024</v>
      </c>
      <c r="H166" s="1" t="s">
        <v>0</v>
      </c>
      <c r="I166" s="1" t="s">
        <v>0</v>
      </c>
    </row>
    <row r="167" ht="14.25" customHeight="1">
      <c r="A167" s="1" t="s">
        <v>1025</v>
      </c>
      <c r="D167" s="1" t="s">
        <v>1312</v>
      </c>
      <c r="H167" s="1" t="s">
        <v>0</v>
      </c>
      <c r="I167" s="1" t="str">
        <f>A167</f>
        <v>Natural Sense Focus</v>
      </c>
      <c r="J167" s="1" t="str">
        <f>VLOOKUP(MID(D167,1,LEN(D167)-5),BasicSkills!$B$1:$E$55,2,FALSE)</f>
        <v>CAR</v>
      </c>
      <c r="K167" s="1" t="str">
        <f>VLOOKUP(MID(D167,1,LEN(D167)-5),BasicSkills!$B$1:$E$55,3,FALSE)</f>
        <v>Core</v>
      </c>
      <c r="L167" s="1" t="str">
        <f>TRIM(MID(D167,1,LEN(D167)-5))</f>
        <v>Nature Focus</v>
      </c>
      <c r="M167" s="1" t="str">
        <f>A168</f>
        <v>the ability to conect with nature and expand your senses spiritually</v>
      </c>
    </row>
    <row r="168" ht="14.25" customHeight="1">
      <c r="A168" s="1" t="s">
        <v>1026</v>
      </c>
      <c r="H168" s="1" t="s">
        <v>0</v>
      </c>
      <c r="I168" s="1" t="s">
        <v>0</v>
      </c>
    </row>
    <row r="169" ht="14.25" customHeight="1">
      <c r="A169" s="1" t="s">
        <v>1019</v>
      </c>
      <c r="D169" s="1" t="s">
        <v>1312</v>
      </c>
      <c r="H169" s="1" t="s">
        <v>0</v>
      </c>
      <c r="I169" s="1" t="str">
        <f>A169</f>
        <v>Harmony Focus</v>
      </c>
      <c r="J169" s="1" t="str">
        <f>VLOOKUP(MID(D169,1,LEN(D169)-5),BasicSkills!$B$1:$E$55,2,FALSE)</f>
        <v>CAR</v>
      </c>
      <c r="K169" s="1" t="str">
        <f>VLOOKUP(MID(D169,1,LEN(D169)-5),BasicSkills!$B$1:$E$55,3,FALSE)</f>
        <v>Core</v>
      </c>
      <c r="L169" s="1" t="str">
        <f>TRIM(MID(D169,1,LEN(D169)-5))</f>
        <v>Nature Focus</v>
      </c>
      <c r="M169" s="1" t="str">
        <f>A170</f>
        <v>you turn your mind into becoming one with nature, thus your spirit becomes harmonious. Resist evil magic and influences and be welcomed by the inhabitants of nature</v>
      </c>
    </row>
    <row r="170" ht="14.25" customHeight="1">
      <c r="A170" s="1" t="s">
        <v>1020</v>
      </c>
      <c r="H170" s="1" t="s">
        <v>0</v>
      </c>
      <c r="I170" s="1" t="s">
        <v>0</v>
      </c>
    </row>
    <row r="171" ht="14.25" customHeight="1">
      <c r="A171" s="1" t="s">
        <v>853</v>
      </c>
      <c r="D171" s="1" t="s">
        <v>1313</v>
      </c>
      <c r="H171" s="1" t="s">
        <v>0</v>
      </c>
      <c r="I171" s="1" t="str">
        <f>A171</f>
        <v>BeastMaster</v>
      </c>
      <c r="J171" s="1" t="str">
        <f>VLOOKUP(MID(D171,1,LEN(D171)-5),BasicSkills!$B$1:$E$55,2,FALSE)</f>
        <v>CAR</v>
      </c>
      <c r="K171" s="1" t="str">
        <f>VLOOKUP(MID(D171,1,LEN(D171)-5),BasicSkills!$B$1:$E$55,3,FALSE)</f>
        <v>Support</v>
      </c>
      <c r="L171" s="1" t="str">
        <f>TRIM(MID(D171,1,LEN(D171)-5))</f>
        <v>Animal Empathy</v>
      </c>
      <c r="M171" s="1" t="str">
        <f>A172</f>
        <v>the ability to manage and control beast creatures, it allows to manage and care for these animals and increases their loyalty to the user</v>
      </c>
    </row>
    <row r="172" ht="14.25" customHeight="1">
      <c r="A172" s="1" t="s">
        <v>854</v>
      </c>
      <c r="H172" s="1" t="s">
        <v>0</v>
      </c>
      <c r="I172" s="1" t="s">
        <v>0</v>
      </c>
    </row>
    <row r="173" ht="14.25" customHeight="1">
      <c r="A173" s="1" t="s">
        <v>855</v>
      </c>
      <c r="D173" s="1" t="s">
        <v>1313</v>
      </c>
      <c r="H173" s="1" t="s">
        <v>0</v>
      </c>
      <c r="I173" s="1" t="str">
        <f>A173</f>
        <v>Falconeer</v>
      </c>
      <c r="J173" s="1" t="str">
        <f>VLOOKUP(MID(D173,1,LEN(D173)-5),BasicSkills!$B$1:$E$55,2,FALSE)</f>
        <v>CAR</v>
      </c>
      <c r="K173" s="1" t="str">
        <f>VLOOKUP(MID(D173,1,LEN(D173)-5),BasicSkills!$B$1:$E$55,3,FALSE)</f>
        <v>Support</v>
      </c>
      <c r="L173" s="1" t="str">
        <f>TRIM(MID(D173,1,LEN(D173)-5))</f>
        <v>Animal Empathy</v>
      </c>
      <c r="M173" s="1" t="str">
        <f>A174</f>
        <v>the ability to manage and control flying creatures, it allows to manage and care for these animals and increases their loyalty to the user</v>
      </c>
    </row>
    <row r="174" ht="14.25" customHeight="1">
      <c r="A174" s="1" t="s">
        <v>856</v>
      </c>
      <c r="H174" s="1" t="s">
        <v>0</v>
      </c>
      <c r="I174" s="1" t="s">
        <v>0</v>
      </c>
    </row>
    <row r="175" ht="14.25" customHeight="1">
      <c r="A175" s="1" t="s">
        <v>851</v>
      </c>
      <c r="D175" s="1" t="s">
        <v>1314</v>
      </c>
      <c r="H175" s="1" t="s">
        <v>0</v>
      </c>
      <c r="I175" s="1" t="str">
        <f>A175</f>
        <v>Beast Trainer</v>
      </c>
      <c r="J175" s="1" t="str">
        <f>VLOOKUP(MID(D175,1,LEN(D175)-5),BasicSkills!$B$1:$E$55,2,FALSE)</f>
        <v>CAR</v>
      </c>
      <c r="K175" s="1" t="str">
        <f>VLOOKUP(MID(D175,1,LEN(D175)-5),BasicSkills!$B$1:$E$55,3,FALSE)</f>
        <v>Support</v>
      </c>
      <c r="L175" s="1" t="str">
        <f>TRIM(MID(D175,1,LEN(D175)-5))</f>
        <v>Animal Empathy</v>
      </c>
      <c r="M175" s="1" t="str">
        <f>A176</f>
        <v>the ability to train beasts of different types, it will increase the INT of the animals and allows the user to teach them tricks</v>
      </c>
    </row>
    <row r="176" ht="14.25" customHeight="1">
      <c r="A176" s="1" t="s">
        <v>852</v>
      </c>
      <c r="H176" s="1" t="s">
        <v>0</v>
      </c>
      <c r="I176" s="1" t="s">
        <v>0</v>
      </c>
    </row>
    <row r="177" ht="14.25" customHeight="1">
      <c r="A177" s="1" t="s">
        <v>857</v>
      </c>
      <c r="D177" s="1" t="s">
        <v>1314</v>
      </c>
      <c r="H177" s="1" t="s">
        <v>0</v>
      </c>
      <c r="I177" s="1" t="str">
        <f>A177</f>
        <v>Shepherd</v>
      </c>
      <c r="J177" s="1" t="str">
        <f>VLOOKUP(MID(D177,1,LEN(D177)-5),BasicSkills!$B$1:$E$55,2,FALSE)</f>
        <v>CAR</v>
      </c>
      <c r="K177" s="1" t="str">
        <f>VLOOKUP(MID(D177,1,LEN(D177)-5),BasicSkills!$B$1:$E$55,3,FALSE)</f>
        <v>Support</v>
      </c>
      <c r="L177" s="1" t="str">
        <f>TRIM(MID(D177,1,LEN(D177)-5))</f>
        <v>Animal Empathy</v>
      </c>
      <c r="M177" s="1" t="str">
        <f>A178</f>
        <v>The ability to guide animals and befriend them, allowing to move large number of them</v>
      </c>
    </row>
    <row r="178" ht="14.25" customHeight="1">
      <c r="A178" s="1" t="s">
        <v>858</v>
      </c>
      <c r="H178" s="1" t="s">
        <v>0</v>
      </c>
      <c r="I178" s="1" t="s">
        <v>0</v>
      </c>
    </row>
    <row r="179" ht="14.25" customHeight="1">
      <c r="A179" s="1" t="s">
        <v>937</v>
      </c>
      <c r="D179" s="1" t="s">
        <v>1315</v>
      </c>
      <c r="H179" s="1" t="s">
        <v>0</v>
      </c>
      <c r="I179" s="1" t="str">
        <f>A179</f>
        <v>Heightened Senses (Vision)</v>
      </c>
      <c r="J179" s="1" t="str">
        <f>VLOOKUP(MID(D179,1,LEN(D179)-5),BasicSkills!$B$1:$E$55,2,FALSE)</f>
        <v>PER</v>
      </c>
      <c r="K179" s="1" t="str">
        <f>VLOOKUP(MID(D179,1,LEN(D179)-5),BasicSkills!$B$1:$E$55,3,FALSE)</f>
        <v>Support</v>
      </c>
      <c r="L179" s="1" t="str">
        <f>TRIM(MID(D179,1,LEN(D179)-5))</f>
        <v>Alert</v>
      </c>
      <c r="M179" s="1" t="str">
        <f>A180</f>
        <v>the proficiency to enhace your vision senses to perceive farther and more clear</v>
      </c>
    </row>
    <row r="180" ht="14.25" customHeight="1">
      <c r="A180" s="1" t="s">
        <v>938</v>
      </c>
      <c r="H180" s="1" t="s">
        <v>0</v>
      </c>
    </row>
    <row r="181" ht="14.25" customHeight="1">
      <c r="A181" s="1" t="s">
        <v>935</v>
      </c>
      <c r="D181" s="1" t="s">
        <v>1315</v>
      </c>
      <c r="I181" s="1" t="str">
        <f>A181</f>
        <v>Heightened Senses (Smell)</v>
      </c>
      <c r="J181" s="1" t="str">
        <f>VLOOKUP(MID(D181,1,LEN(D181)-5),BasicSkills!$B$1:$E$55,2,FALSE)</f>
        <v>PER</v>
      </c>
      <c r="K181" s="1" t="str">
        <f>VLOOKUP(MID(D181,1,LEN(D181)-5),BasicSkills!$B$1:$E$55,3,FALSE)</f>
        <v>Support</v>
      </c>
      <c r="L181" s="1" t="str">
        <f>TRIM(MID(D181,1,LEN(D181)-5))</f>
        <v>Alert</v>
      </c>
      <c r="M181" s="1" t="str">
        <f>A182</f>
        <v>the proficiency to enhace your sense of smell to distinguish and become sensitive to details</v>
      </c>
    </row>
    <row r="182" ht="14.25" customHeight="1">
      <c r="A182" s="1" t="s">
        <v>936</v>
      </c>
      <c r="H182" s="1" t="s">
        <v>0</v>
      </c>
    </row>
    <row r="183" ht="14.25" customHeight="1">
      <c r="A183" s="1" t="s">
        <v>933</v>
      </c>
      <c r="D183" s="1" t="s">
        <v>1315</v>
      </c>
      <c r="I183" s="1" t="str">
        <f>A183</f>
        <v>Heightened Senses (Listening)</v>
      </c>
      <c r="J183" s="1" t="str">
        <f>VLOOKUP(MID(D183,1,LEN(D183)-5),BasicSkills!$B$1:$E$55,2,FALSE)</f>
        <v>PER</v>
      </c>
      <c r="K183" s="1" t="str">
        <f>VLOOKUP(MID(D183,1,LEN(D183)-5),BasicSkills!$B$1:$E$55,3,FALSE)</f>
        <v>Support</v>
      </c>
      <c r="L183" s="1" t="str">
        <f>TRIM(MID(D183,1,LEN(D183)-5))</f>
        <v>Alert</v>
      </c>
      <c r="M183" s="1" t="str">
        <f>A184</f>
        <v>the proficiency to enhace your audition to distinguish small noises and perceive farther</v>
      </c>
    </row>
    <row r="184" ht="14.25" customHeight="1">
      <c r="A184" s="1" t="s">
        <v>934</v>
      </c>
      <c r="H184" s="1" t="s">
        <v>0</v>
      </c>
    </row>
    <row r="185" ht="14.25" customHeight="1">
      <c r="A185" s="1" t="s">
        <v>939</v>
      </c>
      <c r="D185" s="1" t="s">
        <v>1316</v>
      </c>
      <c r="I185" s="1" t="str">
        <f>A185</f>
        <v>Watchful Alert</v>
      </c>
      <c r="J185" s="1" t="str">
        <f>VLOOKUP(MID(D185,1,LEN(D185)-5),BasicSkills!$B$1:$E$55,2,FALSE)</f>
        <v>PER</v>
      </c>
      <c r="K185" s="1" t="str">
        <f>VLOOKUP(MID(D185,1,LEN(D185)-5),BasicSkills!$B$1:$E$55,3,FALSE)</f>
        <v>Support</v>
      </c>
      <c r="L185" s="1" t="str">
        <f>TRIM(MID(D185,1,LEN(D185)-5))</f>
        <v>Alert</v>
      </c>
      <c r="M185" s="1" t="str">
        <f>A186</f>
        <v>the ability to keep your alert in a constant state of seeking "something"</v>
      </c>
    </row>
    <row r="186" ht="14.25" customHeight="1">
      <c r="A186" s="1" t="s">
        <v>940</v>
      </c>
    </row>
    <row r="187" ht="14.25" customHeight="1">
      <c r="A187" s="1" t="s">
        <v>931</v>
      </c>
      <c r="D187" s="1" t="s">
        <v>1317</v>
      </c>
      <c r="I187" s="1" t="str">
        <f>A187</f>
        <v>Danger Alert</v>
      </c>
      <c r="J187" s="1" t="str">
        <f>VLOOKUP(MID(D187,1,LEN(D187)-5),BasicSkills!$B$1:$E$55,2,FALSE)</f>
        <v>PER</v>
      </c>
      <c r="K187" s="1" t="str">
        <f>VLOOKUP(MID(D187,1,LEN(D187)-5),BasicSkills!$B$1:$E$55,3,FALSE)</f>
        <v>Support</v>
      </c>
      <c r="L187" s="1" t="str">
        <f>TRIM(MID(D187,1,LEN(D187)-5))</f>
        <v>Alert</v>
      </c>
      <c r="M187" s="1" t="str">
        <f>A188</f>
        <v>a developed sense about perceiving danger when in alert circumstances by reading subtle changes in the ambiance</v>
      </c>
    </row>
    <row r="188" ht="14.25" customHeight="1">
      <c r="A188" s="1" t="s">
        <v>932</v>
      </c>
      <c r="H188" s="1" t="s">
        <v>0</v>
      </c>
    </row>
    <row r="189" ht="14.25" customHeight="1">
      <c r="A189" s="1" t="s">
        <v>929</v>
      </c>
      <c r="D189" s="1" t="s">
        <v>1318</v>
      </c>
      <c r="H189" s="1" t="s">
        <v>0</v>
      </c>
      <c r="I189" s="1" t="str">
        <f>A189</f>
        <v>Trapcraft</v>
      </c>
      <c r="J189" s="1" t="str">
        <f>VLOOKUP(MID(D189,1,LEN(D189)-5),BasicSkills!$B$1:$E$55,2,FALSE)</f>
        <v>INT</v>
      </c>
      <c r="K189" s="1" t="str">
        <f>VLOOKUP(MID(D189,1,LEN(D189)-5),BasicSkills!$B$1:$E$55,3,FALSE)</f>
        <v>Support</v>
      </c>
      <c r="L189" s="1" t="str">
        <f>TRIM(MID(D189,1,LEN(D189)-5))</f>
        <v>Trapper</v>
      </c>
      <c r="M189" s="1" t="s">
        <v>930</v>
      </c>
    </row>
    <row r="190" ht="14.25" customHeight="1">
      <c r="H190" s="1" t="s">
        <v>0</v>
      </c>
      <c r="I190" s="1" t="s">
        <v>0</v>
      </c>
    </row>
    <row r="191" ht="14.25" customHeight="1">
      <c r="A191" s="1" t="s">
        <v>925</v>
      </c>
      <c r="D191" s="1" t="s">
        <v>1319</v>
      </c>
      <c r="H191" s="1" t="s">
        <v>0</v>
      </c>
      <c r="I191" s="1" t="str">
        <f>A191</f>
        <v>Snare Master</v>
      </c>
      <c r="J191" s="1" t="str">
        <f>VLOOKUP(MID(D191,1,LEN(D191)-5),BasicSkills!$B$1:$E$55,2,FALSE)</f>
        <v>INT</v>
      </c>
      <c r="K191" s="1" t="str">
        <f>VLOOKUP(MID(D191,1,LEN(D191)-5),BasicSkills!$B$1:$E$55,3,FALSE)</f>
        <v>Support</v>
      </c>
      <c r="L191" s="1" t="str">
        <f>TRIM(MID(D191,1,LEN(D191)-5))</f>
        <v>Trapper</v>
      </c>
      <c r="M191" s="1" t="s">
        <v>926</v>
      </c>
    </row>
    <row r="192" ht="14.25" customHeight="1">
      <c r="H192" s="1" t="s">
        <v>0</v>
      </c>
      <c r="I192" s="1" t="s">
        <v>0</v>
      </c>
    </row>
    <row r="193" ht="14.25" customHeight="1">
      <c r="A193" s="1" t="s">
        <v>927</v>
      </c>
      <c r="D193" s="1" t="s">
        <v>1320</v>
      </c>
      <c r="H193" s="1" t="s">
        <v>0</v>
      </c>
      <c r="I193" s="1" t="str">
        <f>A193</f>
        <v>Trap Seeker</v>
      </c>
      <c r="J193" s="1" t="str">
        <f>VLOOKUP(MID(D193,1,LEN(D193)-5),BasicSkills!$B$1:$E$55,2,FALSE)</f>
        <v>INT</v>
      </c>
      <c r="K193" s="1" t="str">
        <f>VLOOKUP(MID(D193,1,LEN(D193)-5),BasicSkills!$B$1:$E$55,3,FALSE)</f>
        <v>Support</v>
      </c>
      <c r="L193" s="1" t="str">
        <f>TRIM(MID(D193,1,LEN(D193)-5))</f>
        <v>Trapper</v>
      </c>
      <c r="M193" s="1" t="s">
        <v>928</v>
      </c>
    </row>
    <row r="194" ht="14.25" customHeight="1">
      <c r="H194" s="1" t="s">
        <v>0</v>
      </c>
      <c r="I194" s="1" t="s">
        <v>0</v>
      </c>
    </row>
    <row r="195" ht="14.25" customHeight="1">
      <c r="A195" s="1" t="s">
        <v>897</v>
      </c>
      <c r="D195" s="1" t="s">
        <v>1321</v>
      </c>
      <c r="H195" s="1" t="s">
        <v>0</v>
      </c>
      <c r="I195" s="1" t="str">
        <f>A195</f>
        <v>Potion Making</v>
      </c>
      <c r="J195" s="1" t="str">
        <f>VLOOKUP(MID(D195,1,LEN(D195)-5),BasicSkills!$B$1:$E$55,2,FALSE)</f>
        <v>INT</v>
      </c>
      <c r="K195" s="1" t="str">
        <f>VLOOKUP(MID(D195,1,LEN(D195)-5),BasicSkills!$B$1:$E$55,3,FALSE)</f>
        <v>Support</v>
      </c>
      <c r="L195" s="1" t="str">
        <f>TRIM(MID(D195,1,LEN(D195)-5))</f>
        <v>Herbalism</v>
      </c>
      <c r="M195" s="1" t="str">
        <f>A196</f>
        <v>The art of making potions and other products made by herbal processing products this is a large field of exploration and it is far reaching in its capacity to produce all sort of consumables</v>
      </c>
    </row>
    <row r="196" ht="14.25" customHeight="1">
      <c r="A196" s="1" t="s">
        <v>898</v>
      </c>
      <c r="H196" s="1" t="s">
        <v>0</v>
      </c>
      <c r="I196" s="1" t="s">
        <v>0</v>
      </c>
    </row>
    <row r="197" ht="14.25" customHeight="1">
      <c r="A197" s="1" t="s">
        <v>893</v>
      </c>
      <c r="D197" s="1" t="s">
        <v>1322</v>
      </c>
      <c r="H197" s="1" t="s">
        <v>0</v>
      </c>
      <c r="I197" s="1" t="str">
        <f>A197</f>
        <v>Brewing</v>
      </c>
      <c r="J197" s="1" t="str">
        <f>VLOOKUP(MID(D197,1,LEN(D197)-5),BasicSkills!$B$1:$E$55,2,FALSE)</f>
        <v>INT</v>
      </c>
      <c r="K197" s="1" t="str">
        <f>VLOOKUP(MID(D197,1,LEN(D197)-5),BasicSkills!$B$1:$E$55,3,FALSE)</f>
        <v>Support</v>
      </c>
      <c r="L197" s="1" t="str">
        <f>TRIM(MID(D197,1,LEN(D197)-5))</f>
        <v>Herbalism</v>
      </c>
      <c r="M197" s="1" t="str">
        <f>A198</f>
        <v>The ability to produce distiled liquor from fruits and plants, it can be also used to ferment and distil other natural based products such as alcohol (beer, wine, etc) and any by product of distilling process.</v>
      </c>
    </row>
    <row r="198" ht="14.25" customHeight="1">
      <c r="A198" s="1" t="s">
        <v>894</v>
      </c>
      <c r="H198" s="1" t="s">
        <v>0</v>
      </c>
      <c r="I198" s="1" t="s">
        <v>0</v>
      </c>
    </row>
    <row r="199" ht="14.25" customHeight="1">
      <c r="A199" s="1" t="s">
        <v>895</v>
      </c>
      <c r="D199" s="1" t="s">
        <v>1323</v>
      </c>
      <c r="H199" s="1" t="s">
        <v>0</v>
      </c>
      <c r="I199" s="1" t="str">
        <f>A199</f>
        <v>Horticulture</v>
      </c>
      <c r="J199" s="1" t="str">
        <f>VLOOKUP(MID(D199,1,LEN(D199)-5),BasicSkills!$B$1:$E$55,2,FALSE)</f>
        <v>INT</v>
      </c>
      <c r="K199" s="1" t="str">
        <f>VLOOKUP(MID(D199,1,LEN(D199)-5),BasicSkills!$B$1:$E$55,3,FALSE)</f>
        <v>Support</v>
      </c>
      <c r="L199" s="1" t="str">
        <f>TRIM(MID(D199,1,LEN(D199)-5))</f>
        <v>Herbalism</v>
      </c>
      <c r="M199" s="1" t="str">
        <f>A200</f>
        <v>The ability to grow plants by the means of simple seeds or plant graft, ground and water. The user is capable of tending gardens or wildplants and caring for these plants to harvest useful fruits and other natural produce.</v>
      </c>
    </row>
    <row r="200" ht="14.25" customHeight="1">
      <c r="A200" s="1" t="s">
        <v>896</v>
      </c>
      <c r="H200" s="1" t="s">
        <v>0</v>
      </c>
      <c r="I200" s="1" t="s">
        <v>0</v>
      </c>
    </row>
    <row r="201" ht="14.25" customHeight="1">
      <c r="A201" s="1" t="s">
        <v>835</v>
      </c>
      <c r="D201" s="1" t="s">
        <v>1324</v>
      </c>
      <c r="H201" s="1" t="s">
        <v>0</v>
      </c>
      <c r="I201" s="1" t="str">
        <f>A201</f>
        <v>Salvaging (Lesser)</v>
      </c>
      <c r="J201" s="1" t="str">
        <f>VLOOKUP(MID(D201,1,LEN(D201)-5),BasicSkills!$B$1:$E$55,2,FALSE)</f>
        <v>AGI</v>
      </c>
      <c r="K201" s="1" t="str">
        <f>VLOOKUP(MID(D201,1,LEN(D201)-5),BasicSkills!$B$1:$E$55,3,FALSE)</f>
        <v>Support</v>
      </c>
      <c r="L201" s="1" t="str">
        <f>TRIM(MID(D201,1,LEN(D201)-5))</f>
        <v>Dismantle</v>
      </c>
      <c r="M201" s="1" t="str">
        <f>A202</f>
        <v>The skill to reclaim and restore, damaged structures and property without damaging them. In simplified terms allows to extract useful and expensive parts from dificult locations in order to sell or reuse them, also, it is specially important in either magical vessels recovery or a sea ship's recovery of their cargo as only a salvaging expert is capable of recovering sensitive materials in good conditions.</v>
      </c>
    </row>
    <row r="202" ht="14.25" customHeight="1">
      <c r="A202" s="1" t="s">
        <v>836</v>
      </c>
      <c r="H202" s="1" t="s">
        <v>0</v>
      </c>
      <c r="I202" s="1" t="s">
        <v>0</v>
      </c>
    </row>
    <row r="203" ht="14.25" customHeight="1">
      <c r="A203" s="1" t="s">
        <v>833</v>
      </c>
      <c r="D203" s="1" t="s">
        <v>1325</v>
      </c>
      <c r="H203" s="1" t="s">
        <v>0</v>
      </c>
      <c r="I203" s="1" t="str">
        <f>A203</f>
        <v>Monster Carver (Basic)</v>
      </c>
      <c r="J203" s="1" t="str">
        <f>VLOOKUP(MID(D203,1,LEN(D203)-5),BasicSkills!$B$1:$E$55,2,FALSE)</f>
        <v>AGI</v>
      </c>
      <c r="K203" s="1" t="str">
        <f>VLOOKUP(MID(D203,1,LEN(D203)-5),BasicSkills!$B$1:$E$55,3,FALSE)</f>
        <v>Support</v>
      </c>
      <c r="L203" s="1" t="str">
        <f>TRIM(MID(D203,1,LEN(D203)-5))</f>
        <v>Dismantle</v>
      </c>
      <c r="M203" s="1" t="str">
        <f>A204</f>
        <v>monster carver is the person who skins and extract every monster part to ensure maximun efficiency and that there is not any loss, unlike a dismantler a carver is capable of dismembering higher ranked monsters with tough skin and poisonous blood until its all usable, however, it needs special tools for diferent monsters</v>
      </c>
    </row>
    <row r="204" ht="14.25" customHeight="1">
      <c r="A204" s="1" t="s">
        <v>834</v>
      </c>
      <c r="H204" s="1" t="s">
        <v>0</v>
      </c>
      <c r="I204" s="1" t="s">
        <v>0</v>
      </c>
    </row>
    <row r="205" ht="14.25" customHeight="1">
      <c r="A205" s="1" t="s">
        <v>837</v>
      </c>
      <c r="D205" s="1" t="s">
        <v>1326</v>
      </c>
      <c r="H205" s="1" t="s">
        <v>0</v>
      </c>
      <c r="I205" s="1" t="str">
        <f>A205</f>
        <v>Scavanging</v>
      </c>
      <c r="J205" s="1" t="str">
        <f>VLOOKUP(MID(D205,1,LEN(D205)-5),BasicSkills!$B$1:$E$55,2,FALSE)</f>
        <v>AGI</v>
      </c>
      <c r="K205" s="1" t="str">
        <f>VLOOKUP(MID(D205,1,LEN(D205)-5),BasicSkills!$B$1:$E$55,3,FALSE)</f>
        <v>Support</v>
      </c>
      <c r="L205" s="1" t="str">
        <f>TRIM(MID(D205,1,LEN(D205)-5))</f>
        <v>Dismantle</v>
      </c>
      <c r="M205" s="1" t="str">
        <f>A206</f>
        <v>scavaning is an ability to loot and seek throughly for any usable items in a very efficient manner, the user is like a hound looking everywhere and everything for items to loot, its a skill that increases the both the amount of loot and more</v>
      </c>
    </row>
    <row r="206" ht="14.25" customHeight="1">
      <c r="A206" s="1" t="s">
        <v>838</v>
      </c>
      <c r="H206" s="1" t="s">
        <v>0</v>
      </c>
      <c r="I206" s="1" t="s">
        <v>0</v>
      </c>
    </row>
    <row r="207" ht="14.25" customHeight="1">
      <c r="A207" s="1" t="s">
        <v>979</v>
      </c>
      <c r="D207" s="1" t="s">
        <v>1327</v>
      </c>
      <c r="H207" s="1" t="s">
        <v>0</v>
      </c>
      <c r="I207" s="1" t="str">
        <f>A207</f>
        <v>Hunting</v>
      </c>
      <c r="J207" s="1" t="str">
        <f>VLOOKUP(MID(D207,1,LEN(D207)-5),BasicSkills!$B$1:$E$55,2,FALSE)</f>
        <v>PER</v>
      </c>
      <c r="K207" s="1" t="str">
        <f>VLOOKUP(MID(D207,1,LEN(D207)-5),BasicSkills!$B$1:$E$55,3,FALSE)</f>
        <v>Support</v>
      </c>
      <c r="L207" s="1" t="str">
        <f>TRIM(MID(D207,1,LEN(D207)-5))</f>
        <v>Tracking</v>
      </c>
      <c r="M207" s="1" t="str">
        <f>A208</f>
        <v>A skill focused on creating opportunities, it is used to enhace the chance of hunting wild animals by allowing the hunter to avoid begin discovered by the animal or prey and maximize oportunities.</v>
      </c>
    </row>
    <row r="208" ht="14.25" customHeight="1">
      <c r="A208" s="1" t="s">
        <v>980</v>
      </c>
      <c r="H208" s="1" t="s">
        <v>0</v>
      </c>
      <c r="I208" s="1" t="s">
        <v>0</v>
      </c>
    </row>
    <row r="209" ht="14.25" customHeight="1">
      <c r="A209" s="1" t="s">
        <v>981</v>
      </c>
      <c r="D209" s="1" t="s">
        <v>1328</v>
      </c>
      <c r="H209" s="1" t="s">
        <v>0</v>
      </c>
      <c r="I209" s="1" t="str">
        <f>A209</f>
        <v>Tracing</v>
      </c>
      <c r="J209" s="1" t="str">
        <f>VLOOKUP(MID(D209,1,LEN(D209)-5),BasicSkills!$B$1:$E$55,2,FALSE)</f>
        <v>PER</v>
      </c>
      <c r="K209" s="1" t="str">
        <f>VLOOKUP(MID(D209,1,LEN(D209)-5),BasicSkills!$B$1:$E$55,3,FALSE)</f>
        <v>Support</v>
      </c>
      <c r="L209" s="1" t="str">
        <f>TRIM(MID(D209,1,LEN(D209)-5))</f>
        <v>Tracking</v>
      </c>
      <c r="M209" s="1" t="str">
        <f>A210</f>
        <v>The ability to read into marks and traces in order to extract information from them, it is used by people who wants to know what happened in a near-past, when enough data has been gathered a clearer picture of the past can be drawn, however it does not produce any form of deduction or elaboration.</v>
      </c>
    </row>
    <row r="210" ht="14.25" customHeight="1">
      <c r="A210" s="1" t="s">
        <v>982</v>
      </c>
      <c r="H210" s="1" t="s">
        <v>0</v>
      </c>
      <c r="I210" s="1" t="s">
        <v>0</v>
      </c>
    </row>
    <row r="211" ht="14.25" customHeight="1">
      <c r="A211" s="1" t="s">
        <v>977</v>
      </c>
      <c r="D211" s="1" t="s">
        <v>1329</v>
      </c>
      <c r="H211" s="1" t="s">
        <v>0</v>
      </c>
      <c r="I211" s="1" t="str">
        <f>A211</f>
        <v>Hounding</v>
      </c>
      <c r="J211" s="1" t="str">
        <f>VLOOKUP(MID(D211,1,LEN(D211)-5),BasicSkills!$B$1:$E$55,2,FALSE)</f>
        <v>PER</v>
      </c>
      <c r="K211" s="1" t="str">
        <f>VLOOKUP(MID(D211,1,LEN(D211)-5),BasicSkills!$B$1:$E$55,3,FALSE)</f>
        <v>Support</v>
      </c>
      <c r="L211" s="1" t="str">
        <f>TRIM(MID(D211,1,LEN(D211)-5))</f>
        <v>Tracking</v>
      </c>
      <c r="M211" s="1" t="str">
        <f>A212</f>
        <v>The ability to search, seek and chase for a series of coherent marks, it is used by hunters and manhunters to search for people in dificult environments. It can also be used to search an area for specific clues where the user has a clear picture of what he is looking for.</v>
      </c>
    </row>
    <row r="212" ht="14.25" customHeight="1">
      <c r="A212" s="1" t="s">
        <v>978</v>
      </c>
      <c r="H212" s="1" t="s">
        <v>0</v>
      </c>
      <c r="I212" s="1" t="s">
        <v>0</v>
      </c>
    </row>
    <row r="213" ht="14.25" customHeight="1">
      <c r="A213" s="1" t="s">
        <v>1027</v>
      </c>
      <c r="D213" s="1" t="s">
        <v>443</v>
      </c>
      <c r="E213" s="1" t="s">
        <v>1028</v>
      </c>
      <c r="H213" s="1" t="s">
        <v>0</v>
      </c>
      <c r="I213" s="1" t="str">
        <f>A213</f>
        <v>Basic "Elemental" Mana Method</v>
      </c>
      <c r="J213" s="1" t="str">
        <f>VLOOKUP(MID(D213,1,LEN(D213)),BasicSkills!$B$1:$E$55,2,FALSE)</f>
        <v>INT</v>
      </c>
      <c r="K213" s="1" t="str">
        <f>VLOOKUP(MID(D213,1,LEN(D213)),BasicSkills!$B$1:$E$55,3,FALSE)</f>
        <v>Core</v>
      </c>
      <c r="L213" s="1" t="str">
        <f>TRIM(MID(D213,1,LEN(D213)))</f>
        <v>Basic Mana Discipline</v>
      </c>
      <c r="M213" s="1" t="str">
        <f>E213</f>
        <v>Application of magic in battle, cast quicker and reduce battle penalty</v>
      </c>
    </row>
    <row r="214" ht="14.25" customHeight="1">
      <c r="H214" s="1" t="s">
        <v>0</v>
      </c>
      <c r="I214" s="1" t="s">
        <v>0</v>
      </c>
    </row>
    <row r="215" ht="14.25" customHeight="1">
      <c r="A215" s="1" t="s">
        <v>1031</v>
      </c>
      <c r="D215" s="1" t="s">
        <v>443</v>
      </c>
      <c r="E215" s="1" t="s">
        <v>1032</v>
      </c>
      <c r="H215" s="1" t="s">
        <v>0</v>
      </c>
      <c r="I215" s="1" t="str">
        <f>A215</f>
        <v>Elemental Commute (Intermediate)</v>
      </c>
      <c r="J215" s="1" t="str">
        <f>VLOOKUP(MID(D215,1,LEN(D215)),BasicSkills!$B$1:$E$55,2,FALSE)</f>
        <v>INT</v>
      </c>
      <c r="K215" s="1" t="str">
        <f>VLOOKUP(MID(D215,1,LEN(D215)),BasicSkills!$B$1:$E$55,3,FALSE)</f>
        <v>Core</v>
      </c>
      <c r="L215" s="1" t="str">
        <f>TRIM(MID(D215,1,LEN(D215)))</f>
        <v>Basic Mana Discipline</v>
      </c>
      <c r="M215" s="1" t="str">
        <f>E215</f>
        <v>Learn to attune your senses with the elemental energies and comute with them</v>
      </c>
    </row>
    <row r="216" ht="14.25" customHeight="1">
      <c r="H216" s="1" t="s">
        <v>0</v>
      </c>
      <c r="I216" s="1" t="s">
        <v>0</v>
      </c>
    </row>
    <row r="217" ht="14.25" customHeight="1">
      <c r="A217" s="1" t="s">
        <v>1037</v>
      </c>
      <c r="D217" s="1" t="s">
        <v>443</v>
      </c>
      <c r="E217" s="1" t="s">
        <v>1038</v>
      </c>
      <c r="H217" s="1" t="s">
        <v>0</v>
      </c>
      <c r="I217" s="1" t="str">
        <f>A217</f>
        <v>Mana Conversion (Basic)</v>
      </c>
      <c r="J217" s="1" t="str">
        <f>VLOOKUP(MID(D217,1,LEN(D217)),BasicSkills!$B$1:$E$55,2,FALSE)</f>
        <v>INT</v>
      </c>
      <c r="K217" s="1" t="str">
        <f>VLOOKUP(MID(D217,1,LEN(D217)),BasicSkills!$B$1:$E$55,3,FALSE)</f>
        <v>Core</v>
      </c>
      <c r="L217" s="1" t="str">
        <f>TRIM(MID(D217,1,LEN(D217)))</f>
        <v>Basic Mana Discipline</v>
      </c>
      <c r="M217" s="1" t="str">
        <f>E217</f>
        <v>The principles of using mana by itself as a source of energy</v>
      </c>
    </row>
    <row r="218" ht="14.25" customHeight="1">
      <c r="H218" s="1" t="s">
        <v>0</v>
      </c>
      <c r="I218" s="1" t="s">
        <v>0</v>
      </c>
    </row>
    <row r="219" ht="14.25" customHeight="1">
      <c r="A219" s="1" t="s">
        <v>1043</v>
      </c>
      <c r="D219" s="1" t="s">
        <v>443</v>
      </c>
      <c r="E219" s="1" t="s">
        <v>1044</v>
      </c>
      <c r="H219" s="1" t="s">
        <v>0</v>
      </c>
      <c r="I219" s="1" t="str">
        <f>A219</f>
        <v>Rare Elementalism (Double elemental)</v>
      </c>
      <c r="J219" s="1" t="str">
        <f>VLOOKUP(MID(D219,1,LEN(D219)),BasicSkills!$B$1:$E$55,2,FALSE)</f>
        <v>INT</v>
      </c>
      <c r="K219" s="1" t="str">
        <f>VLOOKUP(MID(D219,1,LEN(D219)),BasicSkills!$B$1:$E$55,3,FALSE)</f>
        <v>Core</v>
      </c>
      <c r="L219" s="1" t="str">
        <f>TRIM(MID(D219,1,LEN(D219)))</f>
        <v>Basic Mana Discipline</v>
      </c>
      <c r="M219" s="1" t="str">
        <f>E219</f>
        <v>You learn to use a Secondary Superior element such as Darkness, Light or Force</v>
      </c>
    </row>
    <row r="220" ht="14.25" customHeight="1">
      <c r="H220" s="1" t="s">
        <v>0</v>
      </c>
      <c r="I220" s="1" t="s">
        <v>0</v>
      </c>
    </row>
    <row r="221" ht="14.25" customHeight="1">
      <c r="A221" s="1" t="s">
        <v>1033</v>
      </c>
      <c r="D221" s="1" t="s">
        <v>443</v>
      </c>
      <c r="E221" s="1" t="s">
        <v>1034</v>
      </c>
      <c r="H221" s="1" t="s">
        <v>0</v>
      </c>
      <c r="I221" s="1" t="str">
        <f>A221</f>
        <v>Elemental Mana II (Single elemental)</v>
      </c>
      <c r="J221" s="1" t="str">
        <f>VLOOKUP(MID(D221,1,LEN(D221)),BasicSkills!$B$1:$E$55,2,FALSE)</f>
        <v>INT</v>
      </c>
      <c r="K221" s="1" t="str">
        <f>VLOOKUP(MID(D221,1,LEN(D221)),BasicSkills!$B$1:$E$55,3,FALSE)</f>
        <v>Core</v>
      </c>
      <c r="L221" s="1" t="str">
        <f>TRIM(MID(D221,1,LEN(D221)))</f>
        <v>Basic Mana Discipline</v>
      </c>
      <c r="M221" s="1" t="str">
        <f>E221</f>
        <v>Amplify your basic element into a stronger version of itself</v>
      </c>
    </row>
    <row r="222" ht="14.25" customHeight="1">
      <c r="H222" s="1" t="s">
        <v>0</v>
      </c>
      <c r="I222" s="1" t="s">
        <v>0</v>
      </c>
    </row>
    <row r="223" ht="14.25" customHeight="1">
      <c r="A223" s="1" t="s">
        <v>1047</v>
      </c>
      <c r="D223" s="1" t="s">
        <v>443</v>
      </c>
      <c r="E223" s="1" t="s">
        <v>1048</v>
      </c>
      <c r="H223" s="1" t="s">
        <v>0</v>
      </c>
      <c r="I223" s="1" t="str">
        <f>A223</f>
        <v>Square Elementalism (Four Elements)</v>
      </c>
      <c r="J223" s="1" t="str">
        <f>VLOOKUP(MID(D223,1,LEN(D223)),BasicSkills!$B$1:$E$55,2,FALSE)</f>
        <v>INT</v>
      </c>
      <c r="K223" s="1" t="str">
        <f>VLOOKUP(MID(D223,1,LEN(D223)),BasicSkills!$B$1:$E$55,3,FALSE)</f>
        <v>Core</v>
      </c>
      <c r="L223" s="1" t="str">
        <f>TRIM(MID(D223,1,LEN(D223)))</f>
        <v>Basic Mana Discipline</v>
      </c>
      <c r="M223" s="1" t="str">
        <f>E223</f>
        <v>Diversify your mana magic into 4 different elements, all elements are still basic elements</v>
      </c>
    </row>
    <row r="224" ht="14.25" customHeight="1">
      <c r="H224" s="1" t="s">
        <v>0</v>
      </c>
      <c r="I224" s="1" t="s">
        <v>0</v>
      </c>
    </row>
    <row r="225" ht="14.25" customHeight="1">
      <c r="A225" s="1" t="s">
        <v>1029</v>
      </c>
      <c r="D225" s="1" t="s">
        <v>443</v>
      </c>
      <c r="H225" s="1" t="s">
        <v>0</v>
      </c>
      <c r="I225" s="1" t="str">
        <f>A225</f>
        <v>Basic "Iron" Mana                      Method</v>
      </c>
      <c r="J225" s="1" t="str">
        <f>VLOOKUP(MID(D225,1,LEN(D225)),BasicSkills!$B$1:$E$55,2,FALSE)</f>
        <v>INT</v>
      </c>
      <c r="K225" s="1" t="str">
        <f>VLOOKUP(MID(D225,1,LEN(D225)),BasicSkills!$B$1:$E$55,3,FALSE)</f>
        <v>Core</v>
      </c>
      <c r="L225" s="1" t="str">
        <f>TRIM(MID(D225,1,LEN(D225)))</f>
        <v>Basic Mana Discipline</v>
      </c>
      <c r="M225" s="1" t="str">
        <f>A226</f>
        <v>Application of magic in battle, become tougher and harder using mana</v>
      </c>
    </row>
    <row r="226" ht="14.25" customHeight="1">
      <c r="A226" s="1" t="s">
        <v>1030</v>
      </c>
      <c r="H226" s="1" t="s">
        <v>0</v>
      </c>
      <c r="I226" s="1" t="s">
        <v>0</v>
      </c>
    </row>
    <row r="227" ht="14.25" customHeight="1">
      <c r="A227" s="1" t="s">
        <v>1035</v>
      </c>
      <c r="D227" s="1" t="s">
        <v>443</v>
      </c>
      <c r="H227" s="1" t="s">
        <v>0</v>
      </c>
      <c r="I227" s="1" t="str">
        <f>A227</f>
        <v>Healing Mana                                    (Basic)</v>
      </c>
      <c r="J227" s="1" t="str">
        <f>VLOOKUP(MID(D227,1,LEN(D227)),BasicSkills!$B$1:$E$55,2,FALSE)</f>
        <v>INT</v>
      </c>
      <c r="K227" s="1" t="str">
        <f>VLOOKUP(MID(D227,1,LEN(D227)),BasicSkills!$B$1:$E$55,3,FALSE)</f>
        <v>Core</v>
      </c>
      <c r="L227" s="1" t="str">
        <f>TRIM(MID(D227,1,LEN(D227)))</f>
        <v>Basic Mana Discipline</v>
      </c>
      <c r="M227" s="1" t="str">
        <f>A228</f>
        <v>Reinforces the user natural healing factor into healing per round</v>
      </c>
    </row>
    <row r="228" ht="14.25" customHeight="1">
      <c r="A228" s="1" t="s">
        <v>1036</v>
      </c>
      <c r="H228" s="1" t="s">
        <v>0</v>
      </c>
      <c r="I228" s="1" t="s">
        <v>0</v>
      </c>
    </row>
    <row r="229" ht="14.25" customHeight="1">
      <c r="A229" s="1" t="s">
        <v>1049</v>
      </c>
      <c r="D229" s="1" t="s">
        <v>443</v>
      </c>
      <c r="H229" s="1" t="s">
        <v>0</v>
      </c>
      <c r="I229" s="1" t="str">
        <f>A229</f>
        <v>Transmutation Mana                                                (Basic)</v>
      </c>
      <c r="J229" s="1" t="str">
        <f>VLOOKUP(MID(D229,1,LEN(D229)),BasicSkills!$B$1:$E$55,2,FALSE)</f>
        <v>INT</v>
      </c>
      <c r="K229" s="1" t="str">
        <f>VLOOKUP(MID(D229,1,LEN(D229)),BasicSkills!$B$1:$E$55,3,FALSE)</f>
        <v>Core</v>
      </c>
      <c r="L229" s="1" t="str">
        <f>TRIM(MID(D229,1,LEN(D229)))</f>
        <v>Basic Mana Discipline</v>
      </c>
      <c r="M229" s="1" t="str">
        <f>A230</f>
        <v>The principle of using mana to transmutate things in small scale</v>
      </c>
    </row>
    <row r="230" ht="14.25" customHeight="1">
      <c r="A230" s="1" t="s">
        <v>1050</v>
      </c>
      <c r="H230" s="1" t="s">
        <v>0</v>
      </c>
      <c r="I230" s="1" t="s">
        <v>0</v>
      </c>
    </row>
    <row r="231" ht="14.25" customHeight="1">
      <c r="A231" s="1" t="s">
        <v>1045</v>
      </c>
      <c r="D231" s="1" t="s">
        <v>443</v>
      </c>
      <c r="H231" s="1" t="s">
        <v>0</v>
      </c>
      <c r="I231" s="1" t="str">
        <f>A231</f>
        <v>Reinforcemen Mana II                                             (Intermediate)</v>
      </c>
      <c r="J231" s="1" t="str">
        <f>VLOOKUP(MID(D231,1,LEN(D231)),BasicSkills!$B$1:$E$55,2,FALSE)</f>
        <v>INT</v>
      </c>
      <c r="K231" s="1" t="str">
        <f>VLOOKUP(MID(D231,1,LEN(D231)),BasicSkills!$B$1:$E$55,3,FALSE)</f>
        <v>Core</v>
      </c>
      <c r="L231" s="1" t="str">
        <f>TRIM(MID(D231,1,LEN(D231)))</f>
        <v>Basic Mana Discipline</v>
      </c>
      <c r="M231" s="1" t="str">
        <f>A232</f>
        <v>Reinforcment applied to physical inanimate objects</v>
      </c>
    </row>
    <row r="232" ht="14.25" customHeight="1">
      <c r="A232" s="1" t="s">
        <v>1046</v>
      </c>
      <c r="H232" s="1" t="s">
        <v>0</v>
      </c>
      <c r="I232" s="1" t="s">
        <v>0</v>
      </c>
    </row>
    <row r="233" ht="14.25" customHeight="1">
      <c r="A233" s="1" t="s">
        <v>1039</v>
      </c>
      <c r="D233" s="1" t="s">
        <v>443</v>
      </c>
      <c r="H233" s="1" t="s">
        <v>0</v>
      </c>
      <c r="I233" s="1" t="str">
        <f>A233</f>
        <v>Mental Reinforcement</v>
      </c>
      <c r="J233" s="1" t="str">
        <f>VLOOKUP(MID(D233,1,LEN(D233)),BasicSkills!$B$1:$E$55,2,FALSE)</f>
        <v>INT</v>
      </c>
      <c r="K233" s="1" t="str">
        <f>VLOOKUP(MID(D233,1,LEN(D233)),BasicSkills!$B$1:$E$55,3,FALSE)</f>
        <v>Core</v>
      </c>
      <c r="L233" s="1" t="str">
        <f>TRIM(MID(D233,1,LEN(D233)))</f>
        <v>Basic Mana Discipline</v>
      </c>
      <c r="M233" s="1" t="str">
        <f>A234</f>
        <v>It applies temporal feats in INT, PER or MIND when reinforcment is used</v>
      </c>
    </row>
    <row r="234" ht="14.25" customHeight="1">
      <c r="A234" s="1" t="s">
        <v>1040</v>
      </c>
      <c r="H234" s="1" t="s">
        <v>0</v>
      </c>
      <c r="I234" s="1" t="s">
        <v>0</v>
      </c>
    </row>
    <row r="235" ht="14.25" customHeight="1">
      <c r="A235" s="1" t="s">
        <v>1041</v>
      </c>
      <c r="D235" s="1" t="s">
        <v>443</v>
      </c>
      <c r="H235" s="1" t="s">
        <v>0</v>
      </c>
      <c r="I235" s="1" t="str">
        <f>A235</f>
        <v>Physical Reinforcement</v>
      </c>
      <c r="J235" s="1" t="str">
        <f>VLOOKUP(MID(D235,1,LEN(D235)),BasicSkills!$B$1:$E$55,2,FALSE)</f>
        <v>INT</v>
      </c>
      <c r="K235" s="1" t="str">
        <f>VLOOKUP(MID(D235,1,LEN(D235)),BasicSkills!$B$1:$E$55,3,FALSE)</f>
        <v>Core</v>
      </c>
      <c r="L235" s="1" t="str">
        <f>TRIM(MID(D235,1,LEN(D235)))</f>
        <v>Basic Mana Discipline</v>
      </c>
      <c r="M235" s="1" t="str">
        <f>A236</f>
        <v>It applies temporal feats in STR, AGI or VIT when reinforcement is used</v>
      </c>
    </row>
    <row r="236" ht="14.25" customHeight="1">
      <c r="A236" s="1" t="s">
        <v>1042</v>
      </c>
      <c r="H236" s="1" t="s">
        <v>0</v>
      </c>
      <c r="I236" s="1" t="s">
        <v>0</v>
      </c>
    </row>
    <row r="237" ht="14.25" customHeight="1">
      <c r="A237" s="1" t="s">
        <v>1059</v>
      </c>
      <c r="D237" s="1" t="s">
        <v>1330</v>
      </c>
      <c r="E237" s="1" t="s">
        <v>1060</v>
      </c>
      <c r="H237" s="1" t="s">
        <v>0</v>
      </c>
      <c r="I237" s="1" t="str">
        <f>A237</f>
        <v>Superior Mana Sensitivity</v>
      </c>
      <c r="J237" s="1" t="str">
        <f>VLOOKUP(MID(D237,1,LEN(D237)-5),BasicSkills!$B$1:$E$55,2,FALSE)</f>
        <v>PER</v>
      </c>
      <c r="K237" s="1" t="str">
        <f>VLOOKUP(MID(D237,1,LEN(D237)-5),BasicSkills!$B$1:$E$55,3,FALSE)</f>
        <v>Core</v>
      </c>
      <c r="L237" s="1" t="str">
        <f>TRIM(MID(D237,1,LEN(D237)-5))</f>
        <v>Mana Sensitivity</v>
      </c>
      <c r="M237" s="1" t="str">
        <f>A238</f>
        <v>The talent to understand mana better</v>
      </c>
    </row>
    <row r="238" ht="14.25" customHeight="1">
      <c r="A238" s="1" t="s">
        <v>1060</v>
      </c>
      <c r="H238" s="1" t="s">
        <v>0</v>
      </c>
      <c r="I238" s="1" t="s">
        <v>0</v>
      </c>
    </row>
    <row r="239" ht="14.25" customHeight="1">
      <c r="A239" s="1" t="s">
        <v>1051</v>
      </c>
      <c r="D239" s="1" t="s">
        <v>1331</v>
      </c>
      <c r="E239" s="1" t="s">
        <v>1052</v>
      </c>
      <c r="H239" s="1" t="s">
        <v>0</v>
      </c>
      <c r="I239" s="1" t="str">
        <f>A239</f>
        <v>Mana Attunnement I                                    (Basic)</v>
      </c>
      <c r="J239" s="1" t="str">
        <f>VLOOKUP(MID(D239,1,LEN(D239)-5),BasicSkills!$B$1:$E$55,2,FALSE)</f>
        <v>PER</v>
      </c>
      <c r="K239" s="1" t="str">
        <f>VLOOKUP(MID(D239,1,LEN(D239)-5),BasicSkills!$B$1:$E$55,3,FALSE)</f>
        <v>Core</v>
      </c>
      <c r="L239" s="1" t="str">
        <f>TRIM(MID(D239,1,LEN(D239)-5))</f>
        <v>Mana Sensitivity</v>
      </c>
      <c r="M239" s="1" t="str">
        <f>A240</f>
        <v>the ability to harness outside mana with a direct connection to you</v>
      </c>
    </row>
    <row r="240" ht="14.25" customHeight="1">
      <c r="A240" s="1" t="s">
        <v>1052</v>
      </c>
      <c r="H240" s="1" t="s">
        <v>0</v>
      </c>
      <c r="I240" s="1" t="s">
        <v>0</v>
      </c>
    </row>
    <row r="241" ht="14.25" customHeight="1">
      <c r="A241" s="1" t="s">
        <v>1057</v>
      </c>
      <c r="D241" s="1" t="s">
        <v>1331</v>
      </c>
      <c r="E241" s="1" t="s">
        <v>1058</v>
      </c>
      <c r="H241" s="1" t="s">
        <v>0</v>
      </c>
      <c r="I241" s="1" t="str">
        <f>A241</f>
        <v>Mana Trance                                                (Basic)</v>
      </c>
      <c r="J241" s="1" t="str">
        <f>VLOOKUP(MID(D241,1,LEN(D241)-5),BasicSkills!$B$1:$E$55,2,FALSE)</f>
        <v>PER</v>
      </c>
      <c r="K241" s="1" t="str">
        <f>VLOOKUP(MID(D241,1,LEN(D241)-5),BasicSkills!$B$1:$E$55,3,FALSE)</f>
        <v>Core</v>
      </c>
      <c r="L241" s="1" t="str">
        <f>TRIM(MID(D241,1,LEN(D241)-5))</f>
        <v>Mana Sensitivity</v>
      </c>
      <c r="M241" s="1" t="str">
        <f>A242</f>
        <v>The ability to inmerse yourself into the flow of mana discarding your senses</v>
      </c>
    </row>
    <row r="242" ht="14.25" customHeight="1">
      <c r="A242" s="1" t="s">
        <v>1058</v>
      </c>
      <c r="H242" s="1" t="s">
        <v>0</v>
      </c>
      <c r="I242" s="1" t="s">
        <v>0</v>
      </c>
    </row>
    <row r="243" ht="14.25" customHeight="1">
      <c r="A243" s="1" t="s">
        <v>1055</v>
      </c>
      <c r="D243" s="1" t="s">
        <v>1332</v>
      </c>
      <c r="E243" s="1" t="s">
        <v>1056</v>
      </c>
      <c r="H243" s="1" t="s">
        <v>0</v>
      </c>
      <c r="I243" s="1" t="str">
        <f>A243</f>
        <v>Mana Detection                                             (Intermediate)</v>
      </c>
      <c r="J243" s="1" t="str">
        <f>VLOOKUP(MID(D243,1,LEN(D243)-5),BasicSkills!$B$1:$E$55,2,FALSE)</f>
        <v>PER</v>
      </c>
      <c r="K243" s="1" t="str">
        <f>VLOOKUP(MID(D243,1,LEN(D243)-5),BasicSkills!$B$1:$E$55,3,FALSE)</f>
        <v>Core</v>
      </c>
      <c r="L243" s="1" t="str">
        <f>TRIM(MID(D243,1,LEN(D243)-5))</f>
        <v>Mana Sensitivity</v>
      </c>
      <c r="M243" s="1" t="str">
        <f>A244</f>
        <v>Allows the user to sense magic nearby</v>
      </c>
    </row>
    <row r="244" ht="14.25" customHeight="1">
      <c r="A244" s="1" t="s">
        <v>1056</v>
      </c>
      <c r="H244" s="1" t="s">
        <v>0</v>
      </c>
      <c r="I244" s="1" t="s">
        <v>0</v>
      </c>
    </row>
    <row r="245" ht="14.25" customHeight="1">
      <c r="A245" s="1" t="s">
        <v>1053</v>
      </c>
      <c r="D245" s="1" t="s">
        <v>1332</v>
      </c>
      <c r="E245" s="1" t="s">
        <v>1054</v>
      </c>
      <c r="H245" s="1" t="s">
        <v>0</v>
      </c>
      <c r="I245" s="1" t="str">
        <f>A245</f>
        <v>Mana Body                                        (Intermediate)</v>
      </c>
      <c r="J245" s="1" t="str">
        <f>VLOOKUP(MID(D245,1,LEN(D245)-5),BasicSkills!$B$1:$E$55,2,FALSE)</f>
        <v>PER</v>
      </c>
      <c r="K245" s="1" t="str">
        <f>VLOOKUP(MID(D245,1,LEN(D245)-5),BasicSkills!$B$1:$E$55,3,FALSE)</f>
        <v>Core</v>
      </c>
      <c r="L245" s="1" t="str">
        <f>TRIM(MID(D245,1,LEN(D245)-5))</f>
        <v>Mana Sensitivity</v>
      </c>
      <c r="M245" s="1" t="str">
        <f>A246</f>
        <v>the ability to harness the mana inside your own body</v>
      </c>
    </row>
    <row r="246" ht="14.25" customHeight="1">
      <c r="A246" s="1" t="s">
        <v>1054</v>
      </c>
      <c r="H246" s="1" t="s">
        <v>0</v>
      </c>
      <c r="I246" s="1" t="s">
        <v>0</v>
      </c>
    </row>
    <row r="247" ht="14.25" customHeight="1">
      <c r="A247" s="1" t="s">
        <v>989</v>
      </c>
      <c r="D247" s="1" t="s">
        <v>456</v>
      </c>
      <c r="E247" s="1" t="s">
        <v>990</v>
      </c>
      <c r="H247" s="1" t="s">
        <v>0</v>
      </c>
      <c r="I247" s="1" t="str">
        <f>A247</f>
        <v>Astra Cultivation                                                 (Basic)</v>
      </c>
      <c r="J247" s="1" t="str">
        <f>VLOOKUP(MID(D247,1,LEN(D247)),BasicSkills!$B$1:$E$55,2,FALSE)</f>
        <v>WIL</v>
      </c>
      <c r="K247" s="1" t="str">
        <f>VLOOKUP(MID(D247,1,LEN(D247)),BasicSkills!$B$1:$E$55,3,FALSE)</f>
        <v>Support</v>
      </c>
      <c r="L247" s="1" t="str">
        <f>TRIM(MID(D247,1,LEN(D247)))</f>
        <v>Mental Focus</v>
      </c>
      <c r="M247" s="1" t="str">
        <f>E247</f>
        <v>Increase your astra slowly over time</v>
      </c>
    </row>
    <row r="248" ht="14.25" customHeight="1">
      <c r="H248" s="1" t="s">
        <v>0</v>
      </c>
      <c r="I248" s="1" t="s">
        <v>0</v>
      </c>
    </row>
    <row r="249" ht="14.25" customHeight="1">
      <c r="A249" s="1" t="s">
        <v>993</v>
      </c>
      <c r="D249" s="1" t="s">
        <v>456</v>
      </c>
      <c r="E249" s="1" t="s">
        <v>994</v>
      </c>
      <c r="H249" s="1" t="s">
        <v>0</v>
      </c>
      <c r="I249" s="1" t="str">
        <f>A249</f>
        <v>Meditation                             (Basic)</v>
      </c>
      <c r="J249" s="1" t="str">
        <f>VLOOKUP(MID(D249,1,LEN(D249)),BasicSkills!$B$1:$E$55,2,FALSE)</f>
        <v>WIL</v>
      </c>
      <c r="K249" s="1" t="str">
        <f>VLOOKUP(MID(D249,1,LEN(D249)),BasicSkills!$B$1:$E$55,3,FALSE)</f>
        <v>Support</v>
      </c>
      <c r="L249" s="1" t="str">
        <f>TRIM(MID(D249,1,LEN(D249)))</f>
        <v>Mental Focus</v>
      </c>
      <c r="M249" s="1" t="str">
        <f>E249</f>
        <v>Recover Astra Quickly and Rest in a awake state but weak recovery power</v>
      </c>
    </row>
    <row r="250" ht="14.25" customHeight="1">
      <c r="H250" s="1" t="s">
        <v>0</v>
      </c>
      <c r="I250" s="1" t="s">
        <v>0</v>
      </c>
    </row>
    <row r="251" ht="14.25" customHeight="1">
      <c r="A251" s="1" t="s">
        <v>991</v>
      </c>
      <c r="D251" s="1" t="s">
        <v>456</v>
      </c>
      <c r="E251" s="1" t="s">
        <v>992</v>
      </c>
      <c r="H251" s="1" t="s">
        <v>0</v>
      </c>
      <c r="I251" s="1" t="str">
        <f>A251</f>
        <v>Deep Focus                                         (Intermediate)</v>
      </c>
      <c r="J251" s="1" t="str">
        <f>VLOOKUP(MID(D251,1,LEN(D251)),BasicSkills!$B$1:$E$55,2,FALSE)</f>
        <v>WIL</v>
      </c>
      <c r="K251" s="1" t="str">
        <f>VLOOKUP(MID(D251,1,LEN(D251)),BasicSkills!$B$1:$E$55,3,FALSE)</f>
        <v>Support</v>
      </c>
      <c r="L251" s="1" t="str">
        <f>TRIM(MID(D251,1,LEN(D251)))</f>
        <v>Mental Focus</v>
      </c>
      <c r="M251" s="1" t="str">
        <f>E251</f>
        <v>A deeper state of focus you totally ignore your surroundings</v>
      </c>
    </row>
    <row r="252" ht="14.25" customHeight="1">
      <c r="H252" s="1" t="s">
        <v>0</v>
      </c>
      <c r="I252" s="1" t="s">
        <v>0</v>
      </c>
    </row>
    <row r="253" ht="14.25" customHeight="1">
      <c r="A253" s="1" t="s">
        <v>995</v>
      </c>
      <c r="D253" s="1" t="s">
        <v>456</v>
      </c>
      <c r="E253" s="1" t="s">
        <v>996</v>
      </c>
      <c r="H253" s="1" t="s">
        <v>0</v>
      </c>
      <c r="I253" s="1" t="str">
        <f>A253</f>
        <v>Tension Focus                                        (Intermediate)</v>
      </c>
      <c r="J253" s="1" t="str">
        <f>VLOOKUP(MID(D253,1,LEN(D253)),BasicSkills!$B$1:$E$55,2,FALSE)</f>
        <v>WIL</v>
      </c>
      <c r="K253" s="1" t="str">
        <f>VLOOKUP(MID(D253,1,LEN(D253)),BasicSkills!$B$1:$E$55,3,FALSE)</f>
        <v>Support</v>
      </c>
      <c r="L253" s="1" t="str">
        <f>TRIM(MID(D253,1,LEN(D253)))</f>
        <v>Mental Focus</v>
      </c>
      <c r="M253" s="1" t="str">
        <f>E253</f>
        <v>A partial focus used to cast without loosing sight of your surroundings</v>
      </c>
    </row>
    <row r="254" ht="14.25" customHeight="1">
      <c r="H254" s="1" t="s">
        <v>0</v>
      </c>
      <c r="I254" s="1" t="s">
        <v>0</v>
      </c>
    </row>
    <row r="255" ht="14.25" customHeight="1">
      <c r="A255" s="1" t="s">
        <v>919</v>
      </c>
      <c r="D255" s="1" t="s">
        <v>1333</v>
      </c>
      <c r="E255" s="1" t="s">
        <v>920</v>
      </c>
      <c r="I255" s="1" t="str">
        <f>A255</f>
        <v>Common Magic Object</v>
      </c>
      <c r="J255" s="1" t="str">
        <f>VLOOKUP(MID(D255,1,LEN(D255)-5),BasicSkills!$B$1:$E$55,2,FALSE)</f>
        <v>INT</v>
      </c>
      <c r="K255" s="1" t="str">
        <f>VLOOKUP(MID(D255,1,LEN(D255)-5),BasicSkills!$B$1:$E$55,3,FALSE)</f>
        <v>Support</v>
      </c>
      <c r="L255" s="1" t="str">
        <f>TRIM(MID(D255,1,LEN(D255)-5))</f>
        <v>Magic Object</v>
      </c>
      <c r="M255" s="1" t="str">
        <f>E255</f>
        <v>common objects such as rings and wands usually endowed with charges and commonly used by mages and commons</v>
      </c>
    </row>
    <row r="256" ht="14.25" customHeight="1"/>
    <row r="257" ht="14.25" customHeight="1">
      <c r="A257" s="1" t="s">
        <v>921</v>
      </c>
      <c r="D257" s="1" t="s">
        <v>1334</v>
      </c>
      <c r="E257" s="1" t="s">
        <v>922</v>
      </c>
      <c r="I257" s="1" t="str">
        <f>A257</f>
        <v>Defense Magic Object</v>
      </c>
      <c r="J257" s="1" t="str">
        <f>VLOOKUP(MID(D257,1,LEN(D257)-5),BasicSkills!$B$1:$E$55,2,FALSE)</f>
        <v>INT</v>
      </c>
      <c r="K257" s="1" t="str">
        <f>VLOOKUP(MID(D257,1,LEN(D257)-5),BasicSkills!$B$1:$E$55,3,FALSE)</f>
        <v>Support</v>
      </c>
      <c r="L257" s="1" t="str">
        <f>TRIM(MID(D257,1,LEN(D257)-5))</f>
        <v>Magic Object</v>
      </c>
      <c r="M257" s="1" t="str">
        <f>E257</f>
        <v>objects specialized in defense and protection from magical rings, energy fields to structural defensive enchantments used only by mages usually by their large mana cost</v>
      </c>
    </row>
    <row r="258" ht="14.25" customHeight="1"/>
    <row r="259" ht="14.25" customHeight="1">
      <c r="A259" s="1" t="s">
        <v>923</v>
      </c>
      <c r="D259" s="1" t="s">
        <v>1335</v>
      </c>
      <c r="E259" s="1" t="s">
        <v>924</v>
      </c>
      <c r="I259" s="1" t="str">
        <f>A259</f>
        <v>Scrying Magic Object</v>
      </c>
      <c r="J259" s="1" t="str">
        <f>VLOOKUP(MID(D259,1,LEN(D259)-5),BasicSkills!$B$1:$E$55,2,FALSE)</f>
        <v>INT</v>
      </c>
      <c r="K259" s="1" t="str">
        <f>VLOOKUP(MID(D259,1,LEN(D259)-5),BasicSkills!$B$1:$E$55,3,FALSE)</f>
        <v>Support</v>
      </c>
      <c r="L259" s="1" t="str">
        <f>TRIM(MID(D259,1,LEN(D259)-5))</f>
        <v>Magic Object</v>
      </c>
      <c r="M259" s="1" t="str">
        <f>E259</f>
        <v>objects specialized in information transmision and detection often used by pure mages to scout large zones or informatiion visualization</v>
      </c>
    </row>
    <row r="260" ht="14.25" customHeight="1"/>
    <row r="261" ht="14.25" customHeight="1">
      <c r="A261" s="1" t="s">
        <v>1005</v>
      </c>
      <c r="D261" s="1" t="s">
        <v>1336</v>
      </c>
      <c r="E261" s="1" t="s">
        <v>1006</v>
      </c>
      <c r="H261" s="1" t="s">
        <v>0</v>
      </c>
      <c r="I261" s="1" t="str">
        <f>A261</f>
        <v>Traditional Martial Arts                                         (Basic)</v>
      </c>
      <c r="J261" s="1" t="str">
        <f>VLOOKUP(MID(D261,1,LEN(D261)-5),BasicSkills!$B$1:$E$55,2,FALSE)</f>
        <v>AGI</v>
      </c>
      <c r="K261" s="1" t="str">
        <f>VLOOKUP(MID(D261,1,LEN(D261)-5),BasicSkills!$B$1:$E$55,3,FALSE)</f>
        <v>Core</v>
      </c>
      <c r="L261" s="1" t="str">
        <f>TRIM(MID(D261,1,LEN(D261)-5))</f>
        <v>Brawling</v>
      </c>
      <c r="M261" s="1" t="str">
        <f>E261</f>
        <v>Clasical martial arts used by profesional practitioners of melee combat using only specific styles and weapons</v>
      </c>
    </row>
    <row r="262" ht="14.25" customHeight="1">
      <c r="H262" s="1" t="s">
        <v>0</v>
      </c>
      <c r="I262" s="1" t="s">
        <v>0</v>
      </c>
    </row>
    <row r="263" ht="14.25" customHeight="1">
      <c r="A263" s="1" t="s">
        <v>997</v>
      </c>
      <c r="D263" s="1" t="s">
        <v>1337</v>
      </c>
      <c r="E263" s="1" t="s">
        <v>998</v>
      </c>
      <c r="H263" s="1" t="s">
        <v>0</v>
      </c>
      <c r="I263" s="1" t="str">
        <f>A263</f>
        <v>Close Quarter Combat                                         (Basic)</v>
      </c>
      <c r="J263" s="1" t="str">
        <f>VLOOKUP(MID(D263,1,LEN(D263)-5),BasicSkills!$B$1:$E$55,2,FALSE)</f>
        <v>AGI</v>
      </c>
      <c r="K263" s="1" t="str">
        <f>VLOOKUP(MID(D263,1,LEN(D263)-5),BasicSkills!$B$1:$E$55,3,FALSE)</f>
        <v>Core</v>
      </c>
      <c r="L263" s="1" t="str">
        <f>TRIM(MID(D263,1,LEN(D263)-5))</f>
        <v>Brawling</v>
      </c>
      <c r="M263" s="1" t="str">
        <f>E263</f>
        <v>a specialized combat for very small spaces where kicks and punches are not allowed</v>
      </c>
    </row>
    <row r="264" ht="14.25" customHeight="1">
      <c r="H264" s="1" t="s">
        <v>0</v>
      </c>
      <c r="I264" s="1" t="s">
        <v>0</v>
      </c>
    </row>
    <row r="265" ht="14.25" customHeight="1">
      <c r="A265" s="1" t="s">
        <v>1003</v>
      </c>
      <c r="D265" s="1" t="s">
        <v>1338</v>
      </c>
      <c r="E265" s="1" t="s">
        <v>1004</v>
      </c>
      <c r="H265" s="1" t="s">
        <v>0</v>
      </c>
      <c r="I265" s="1" t="str">
        <f>A265</f>
        <v>Street Fighting                                         (Intermediate)</v>
      </c>
      <c r="J265" s="1" t="str">
        <f>VLOOKUP(MID(D265,1,LEN(D265)-5),BasicSkills!$B$1:$E$55,2,FALSE)</f>
        <v>AGI</v>
      </c>
      <c r="K265" s="1" t="str">
        <f>VLOOKUP(MID(D265,1,LEN(D265)-5),BasicSkills!$B$1:$E$55,3,FALSE)</f>
        <v>Core</v>
      </c>
      <c r="L265" s="1" t="str">
        <f>TRIM(MID(D265,1,LEN(D265)-5))</f>
        <v>Brawling</v>
      </c>
      <c r="M265" s="1" t="str">
        <f>E265</f>
        <v>Dirty fighting at its best, the cultivated strenght of the streets of rage!!</v>
      </c>
    </row>
    <row r="266" ht="14.25" customHeight="1">
      <c r="H266" s="1" t="s">
        <v>0</v>
      </c>
      <c r="I266" s="1" t="s">
        <v>0</v>
      </c>
    </row>
    <row r="267" ht="14.25" customHeight="1">
      <c r="A267" s="1" t="s">
        <v>999</v>
      </c>
      <c r="D267" s="1" t="s">
        <v>1338</v>
      </c>
      <c r="E267" s="1" t="s">
        <v>1000</v>
      </c>
      <c r="H267" s="1" t="s">
        <v>0</v>
      </c>
      <c r="I267" s="1" t="str">
        <f>A267</f>
        <v>Kick Boxing                                         (Basic)</v>
      </c>
      <c r="J267" s="1" t="str">
        <f>VLOOKUP(MID(D267,1,LEN(D267)-5),BasicSkills!$B$1:$E$55,2,FALSE)</f>
        <v>AGI</v>
      </c>
      <c r="K267" s="1" t="str">
        <f>VLOOKUP(MID(D267,1,LEN(D267)-5),BasicSkills!$B$1:$E$55,3,FALSE)</f>
        <v>Core</v>
      </c>
      <c r="L267" s="1" t="str">
        <f>TRIM(MID(D267,1,LEN(D267)-5))</f>
        <v>Brawling</v>
      </c>
      <c r="M267" s="1" t="str">
        <f>E267</f>
        <v>a style focused in kicking using great movility and outfighting moves</v>
      </c>
    </row>
    <row r="268" ht="14.25" customHeight="1">
      <c r="H268" s="1" t="s">
        <v>0</v>
      </c>
      <c r="I268" s="1" t="s">
        <v>0</v>
      </c>
    </row>
    <row r="269" ht="14.25" customHeight="1">
      <c r="A269" s="1" t="s">
        <v>1001</v>
      </c>
      <c r="D269" s="1" t="s">
        <v>1338</v>
      </c>
      <c r="E269" s="1" t="s">
        <v>1002</v>
      </c>
      <c r="H269" s="1" t="s">
        <v>0</v>
      </c>
      <c r="I269" s="1" t="str">
        <f>A269</f>
        <v>Pugilism                                         (Basic)</v>
      </c>
      <c r="J269" s="1" t="str">
        <f>VLOOKUP(MID(D269,1,LEN(D269)-5),BasicSkills!$B$1:$E$55,2,FALSE)</f>
        <v>AGI</v>
      </c>
      <c r="K269" s="1" t="str">
        <f>VLOOKUP(MID(D269,1,LEN(D269)-5),BasicSkills!$B$1:$E$55,3,FALSE)</f>
        <v>Core</v>
      </c>
      <c r="L269" s="1" t="str">
        <f>TRIM(MID(D269,1,LEN(D269)-5))</f>
        <v>Brawling</v>
      </c>
      <c r="M269" s="1" t="str">
        <f>E269</f>
        <v>fist fisting specialist a mix of defense and offense</v>
      </c>
    </row>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8.71"/>
  </cols>
  <sheetData>
    <row r="1" ht="14.25" customHeight="1">
      <c r="C1" s="1">
        <v>0.0</v>
      </c>
      <c r="E1" s="1">
        <v>1.0</v>
      </c>
      <c r="G1" s="1">
        <v>2.0</v>
      </c>
      <c r="I1" s="1">
        <v>3.0</v>
      </c>
      <c r="K1" s="1">
        <v>4.0</v>
      </c>
      <c r="M1" s="1">
        <v>5.0</v>
      </c>
      <c r="O1" s="1">
        <v>6.0</v>
      </c>
      <c r="Q1" s="1">
        <v>7.0</v>
      </c>
    </row>
    <row r="2" ht="14.25" customHeight="1">
      <c r="C2" s="280" t="s">
        <v>1339</v>
      </c>
      <c r="E2" s="280" t="str">
        <f>CONCATENATE(VALUE(RIGHT(C2,3))+1," - ",VALUE(RIGHT(C2,3))+40)</f>
        <v>110 - 149</v>
      </c>
      <c r="G2" s="280" t="str">
        <f>CONCATENATE(VALUE(RIGHT(E2,3))+1," - ",VALUE(RIGHT(E2,3))+50)</f>
        <v>150 - 199</v>
      </c>
      <c r="I2" s="280" t="str">
        <f>CONCATENATE(VALUE(RIGHT(G2,3))+1," - ",VALUE(RIGHT(G2,3))+50)</f>
        <v>200 - 249</v>
      </c>
      <c r="K2" s="280" t="str">
        <f>CONCATENATE(VALUE(RIGHT(I2,3))+1," - ",VALUE(RIGHT(I2,3))+50)</f>
        <v>250 - 299</v>
      </c>
      <c r="M2" s="280" t="str">
        <f>CONCATENATE(VALUE(RIGHT(K2,3))+1," - ",VALUE(RIGHT(K2,3))+50)</f>
        <v>300 - 349</v>
      </c>
      <c r="O2" s="280" t="str">
        <f>CONCATENATE(VALUE(RIGHT(M2,3))+1," - ",VALUE(RIGHT(M2,3))+50)</f>
        <v>350 - 399</v>
      </c>
      <c r="Q2" s="280" t="s">
        <v>1340</v>
      </c>
      <c r="S2" s="316" t="s">
        <v>1341</v>
      </c>
      <c r="U2" s="316" t="s">
        <v>501</v>
      </c>
      <c r="W2" s="1" t="s">
        <v>1342</v>
      </c>
      <c r="X2" s="1" t="s">
        <v>1343</v>
      </c>
      <c r="Y2" s="1" t="s">
        <v>1344</v>
      </c>
      <c r="Z2" s="1" t="s">
        <v>1345</v>
      </c>
    </row>
    <row r="3" ht="14.25" customHeight="1">
      <c r="A3" s="1" t="s">
        <v>256</v>
      </c>
      <c r="B3" s="1" t="s">
        <v>1346</v>
      </c>
      <c r="C3" s="280" t="s">
        <v>1347</v>
      </c>
      <c r="D3" s="1" t="s">
        <v>1348</v>
      </c>
      <c r="E3" s="280" t="s">
        <v>1349</v>
      </c>
      <c r="F3" s="1" t="s">
        <v>1350</v>
      </c>
      <c r="G3" s="280" t="s">
        <v>1351</v>
      </c>
      <c r="H3" s="1" t="s">
        <v>1352</v>
      </c>
      <c r="I3" s="280" t="s">
        <v>1353</v>
      </c>
      <c r="J3" s="1" t="s">
        <v>1354</v>
      </c>
      <c r="K3" s="280" t="s">
        <v>1355</v>
      </c>
      <c r="L3" s="1" t="s">
        <v>1356</v>
      </c>
      <c r="M3" s="280" t="s">
        <v>1357</v>
      </c>
      <c r="N3" s="1" t="s">
        <v>1358</v>
      </c>
      <c r="O3" s="280" t="s">
        <v>1359</v>
      </c>
      <c r="P3" s="1" t="s">
        <v>1360</v>
      </c>
      <c r="Q3" s="280" t="s">
        <v>1361</v>
      </c>
      <c r="R3" s="1" t="s">
        <v>1362</v>
      </c>
      <c r="S3" s="1" t="s">
        <v>1363</v>
      </c>
      <c r="T3" s="1" t="s">
        <v>1364</v>
      </c>
      <c r="U3" s="1" t="s">
        <v>523</v>
      </c>
      <c r="V3" s="1" t="s">
        <v>1365</v>
      </c>
      <c r="W3" s="1" t="s">
        <v>0</v>
      </c>
      <c r="X3" s="1" t="s">
        <v>1366</v>
      </c>
      <c r="Y3" s="1" t="s">
        <v>1367</v>
      </c>
      <c r="Z3" s="1" t="s">
        <v>1368</v>
      </c>
    </row>
    <row r="4" ht="14.25" customHeight="1">
      <c r="A4" s="1" t="s">
        <v>42</v>
      </c>
      <c r="B4" s="1" t="s">
        <v>1369</v>
      </c>
      <c r="C4" s="280" t="s">
        <v>1370</v>
      </c>
      <c r="D4" s="1" t="s">
        <v>1371</v>
      </c>
      <c r="E4" s="280" t="s">
        <v>1372</v>
      </c>
      <c r="F4" s="1" t="s">
        <v>1373</v>
      </c>
      <c r="G4" s="280" t="s">
        <v>1374</v>
      </c>
      <c r="H4" s="1" t="s">
        <v>1375</v>
      </c>
      <c r="I4" s="280" t="s">
        <v>1376</v>
      </c>
      <c r="J4" s="1" t="s">
        <v>1377</v>
      </c>
      <c r="K4" s="280" t="s">
        <v>1378</v>
      </c>
      <c r="L4" s="1" t="s">
        <v>1379</v>
      </c>
      <c r="M4" s="280" t="s">
        <v>1380</v>
      </c>
      <c r="N4" s="1" t="s">
        <v>1381</v>
      </c>
      <c r="O4" s="280" t="s">
        <v>1382</v>
      </c>
      <c r="P4" s="1" t="s">
        <v>1383</v>
      </c>
      <c r="Q4" s="280" t="s">
        <v>1384</v>
      </c>
      <c r="R4" s="1" t="s">
        <v>1385</v>
      </c>
      <c r="S4" s="1" t="s">
        <v>1386</v>
      </c>
      <c r="T4" s="1" t="s">
        <v>1387</v>
      </c>
      <c r="U4" s="1" t="s">
        <v>402</v>
      </c>
      <c r="V4" s="1" t="s">
        <v>816</v>
      </c>
      <c r="W4" s="1" t="s">
        <v>1388</v>
      </c>
      <c r="X4" s="1" t="s">
        <v>1389</v>
      </c>
      <c r="Y4" s="1" t="s">
        <v>1390</v>
      </c>
      <c r="Z4" s="1" t="s">
        <v>1391</v>
      </c>
    </row>
    <row r="5" ht="14.25" customHeight="1">
      <c r="A5" s="1" t="s">
        <v>160</v>
      </c>
      <c r="B5" s="1" t="s">
        <v>1392</v>
      </c>
      <c r="C5" s="280" t="s">
        <v>1393</v>
      </c>
      <c r="D5" s="1" t="s">
        <v>1394</v>
      </c>
      <c r="E5" s="280" t="s">
        <v>1395</v>
      </c>
      <c r="F5" s="1" t="s">
        <v>1396</v>
      </c>
      <c r="G5" s="280" t="s">
        <v>1397</v>
      </c>
      <c r="H5" s="1" t="s">
        <v>1398</v>
      </c>
      <c r="I5" s="280" t="s">
        <v>1399</v>
      </c>
      <c r="J5" s="1" t="s">
        <v>1400</v>
      </c>
      <c r="K5" s="280" t="s">
        <v>1401</v>
      </c>
      <c r="L5" s="1" t="s">
        <v>1402</v>
      </c>
      <c r="M5" s="280" t="s">
        <v>1403</v>
      </c>
      <c r="N5" s="1" t="s">
        <v>1404</v>
      </c>
      <c r="O5" s="280" t="s">
        <v>1405</v>
      </c>
      <c r="P5" s="1" t="s">
        <v>1406</v>
      </c>
      <c r="Q5" s="280" t="s">
        <v>1407</v>
      </c>
      <c r="R5" s="1" t="s">
        <v>1408</v>
      </c>
      <c r="S5" s="1" t="s">
        <v>197</v>
      </c>
      <c r="T5" s="1" t="s">
        <v>1409</v>
      </c>
      <c r="U5" s="1" t="s">
        <v>1410</v>
      </c>
      <c r="V5" s="1" t="s">
        <v>456</v>
      </c>
      <c r="W5" s="1" t="s">
        <v>1411</v>
      </c>
      <c r="X5" s="1" t="s">
        <v>1412</v>
      </c>
      <c r="Y5" s="1" t="s">
        <v>1413</v>
      </c>
      <c r="Z5" s="1" t="s">
        <v>1414</v>
      </c>
    </row>
    <row r="6" ht="14.25" customHeight="1">
      <c r="A6" s="1" t="s">
        <v>213</v>
      </c>
      <c r="B6" s="1" t="s">
        <v>1415</v>
      </c>
      <c r="C6" s="280" t="s">
        <v>1416</v>
      </c>
      <c r="D6" s="1" t="s">
        <v>1417</v>
      </c>
      <c r="E6" s="280" t="s">
        <v>1418</v>
      </c>
      <c r="F6" s="1" t="s">
        <v>1419</v>
      </c>
      <c r="G6" s="280" t="s">
        <v>1420</v>
      </c>
      <c r="H6" s="1" t="s">
        <v>1421</v>
      </c>
      <c r="I6" s="280" t="s">
        <v>1422</v>
      </c>
      <c r="J6" s="1" t="s">
        <v>1423</v>
      </c>
      <c r="K6" s="280" t="s">
        <v>1424</v>
      </c>
      <c r="L6" s="1" t="s">
        <v>1425</v>
      </c>
      <c r="M6" s="280" t="s">
        <v>1426</v>
      </c>
      <c r="N6" s="1" t="s">
        <v>1427</v>
      </c>
      <c r="O6" s="280" t="s">
        <v>1428</v>
      </c>
      <c r="P6" s="1" t="s">
        <v>1429</v>
      </c>
      <c r="Q6" s="280" t="s">
        <v>1430</v>
      </c>
      <c r="R6" s="1" t="s">
        <v>1431</v>
      </c>
      <c r="S6" s="1" t="s">
        <v>1432</v>
      </c>
      <c r="T6" s="1" t="s">
        <v>1433</v>
      </c>
      <c r="U6" s="1" t="s">
        <v>824</v>
      </c>
      <c r="V6" s="1" t="s">
        <v>1434</v>
      </c>
      <c r="W6" s="1" t="s">
        <v>1435</v>
      </c>
      <c r="X6" s="1" t="s">
        <v>1436</v>
      </c>
      <c r="Y6" s="1" t="s">
        <v>1437</v>
      </c>
      <c r="Z6" s="1" t="s">
        <v>1438</v>
      </c>
    </row>
    <row r="7" ht="14.25" customHeight="1">
      <c r="A7" s="1" t="s">
        <v>81</v>
      </c>
      <c r="B7" s="1" t="s">
        <v>1439</v>
      </c>
      <c r="C7" s="280" t="s">
        <v>1440</v>
      </c>
      <c r="D7" s="1" t="s">
        <v>1441</v>
      </c>
      <c r="E7" s="280" t="s">
        <v>1442</v>
      </c>
      <c r="F7" s="1" t="s">
        <v>1443</v>
      </c>
      <c r="G7" s="280" t="s">
        <v>1444</v>
      </c>
      <c r="H7" s="1" t="s">
        <v>1445</v>
      </c>
      <c r="I7" s="280" t="s">
        <v>1446</v>
      </c>
      <c r="J7" s="1" t="s">
        <v>1447</v>
      </c>
      <c r="K7" s="280" t="s">
        <v>1448</v>
      </c>
      <c r="L7" s="1" t="s">
        <v>1449</v>
      </c>
      <c r="M7" s="280" t="s">
        <v>1450</v>
      </c>
      <c r="N7" s="1" t="s">
        <v>1451</v>
      </c>
      <c r="O7" s="280" t="s">
        <v>1452</v>
      </c>
      <c r="P7" s="1" t="s">
        <v>1453</v>
      </c>
      <c r="Q7" s="280" t="s">
        <v>1454</v>
      </c>
      <c r="R7" s="1" t="s">
        <v>1455</v>
      </c>
      <c r="S7" s="1" t="s">
        <v>1456</v>
      </c>
      <c r="T7" s="1" t="s">
        <v>1457</v>
      </c>
      <c r="U7" s="1" t="s">
        <v>470</v>
      </c>
      <c r="V7" s="1" t="s">
        <v>446</v>
      </c>
      <c r="W7" s="1" t="s">
        <v>1458</v>
      </c>
      <c r="X7" s="1" t="s">
        <v>1459</v>
      </c>
      <c r="Y7" s="1" t="s">
        <v>319</v>
      </c>
      <c r="Z7" s="1" t="s">
        <v>321</v>
      </c>
    </row>
    <row r="8" ht="14.25" customHeight="1">
      <c r="A8" s="1" t="s">
        <v>4</v>
      </c>
      <c r="B8" s="1" t="s">
        <v>1460</v>
      </c>
      <c r="C8" s="280" t="s">
        <v>1461</v>
      </c>
      <c r="D8" s="1" t="s">
        <v>1462</v>
      </c>
      <c r="E8" s="280" t="s">
        <v>1463</v>
      </c>
      <c r="F8" s="1" t="s">
        <v>1464</v>
      </c>
      <c r="G8" s="280" t="s">
        <v>1465</v>
      </c>
      <c r="H8" s="1" t="s">
        <v>1466</v>
      </c>
      <c r="I8" s="280" t="s">
        <v>1467</v>
      </c>
      <c r="J8" s="1" t="s">
        <v>1468</v>
      </c>
      <c r="K8" s="280" t="s">
        <v>1469</v>
      </c>
      <c r="L8" s="1" t="s">
        <v>1470</v>
      </c>
      <c r="M8" s="280" t="s">
        <v>1471</v>
      </c>
      <c r="N8" s="1" t="s">
        <v>1472</v>
      </c>
      <c r="O8" s="280" t="s">
        <v>1473</v>
      </c>
      <c r="P8" s="1" t="s">
        <v>1474</v>
      </c>
      <c r="Q8" s="280" t="s">
        <v>1475</v>
      </c>
      <c r="R8" s="1" t="s">
        <v>1476</v>
      </c>
      <c r="S8" s="1" t="s">
        <v>1477</v>
      </c>
      <c r="T8" s="1" t="s">
        <v>1478</v>
      </c>
      <c r="U8" s="1" t="s">
        <v>818</v>
      </c>
      <c r="V8" s="1" t="s">
        <v>820</v>
      </c>
      <c r="W8" s="1" t="s">
        <v>1479</v>
      </c>
      <c r="X8" s="1" t="s">
        <v>1480</v>
      </c>
      <c r="Y8" s="1" t="s">
        <v>1481</v>
      </c>
      <c r="Z8" s="1" t="s">
        <v>1482</v>
      </c>
    </row>
    <row r="9" ht="14.25" customHeight="1">
      <c r="A9" s="1" t="s">
        <v>1483</v>
      </c>
      <c r="B9" s="1" t="s">
        <v>1484</v>
      </c>
      <c r="C9" s="280" t="s">
        <v>1485</v>
      </c>
      <c r="D9" s="316" t="s">
        <v>1486</v>
      </c>
      <c r="G9" s="280" t="s">
        <v>1487</v>
      </c>
      <c r="H9" s="316" t="s">
        <v>1488</v>
      </c>
      <c r="K9" s="280" t="s">
        <v>1489</v>
      </c>
      <c r="L9" s="316" t="s">
        <v>1490</v>
      </c>
      <c r="O9" s="280" t="s">
        <v>1491</v>
      </c>
      <c r="P9" s="316" t="s">
        <v>1492</v>
      </c>
      <c r="S9" s="1" t="s">
        <v>1493</v>
      </c>
      <c r="T9" s="1" t="s">
        <v>1494</v>
      </c>
      <c r="W9" s="1" t="s">
        <v>1495</v>
      </c>
      <c r="X9" s="1" t="s">
        <v>1496</v>
      </c>
      <c r="Y9" s="1" t="s">
        <v>1497</v>
      </c>
      <c r="Z9" s="1" t="s">
        <v>1498</v>
      </c>
    </row>
    <row r="10" ht="14.25" customHeight="1">
      <c r="A10" s="1" t="s">
        <v>480</v>
      </c>
      <c r="B10" s="1" t="s">
        <v>1499</v>
      </c>
      <c r="C10" s="280" t="s">
        <v>1500</v>
      </c>
      <c r="D10" s="316" t="s">
        <v>1501</v>
      </c>
      <c r="G10" s="280" t="s">
        <v>1502</v>
      </c>
      <c r="H10" s="316" t="s">
        <v>1503</v>
      </c>
      <c r="K10" s="280" t="s">
        <v>1504</v>
      </c>
      <c r="L10" s="316" t="s">
        <v>1505</v>
      </c>
      <c r="O10" s="280" t="s">
        <v>1506</v>
      </c>
      <c r="P10" s="316" t="s">
        <v>1507</v>
      </c>
      <c r="S10" s="1" t="s">
        <v>1508</v>
      </c>
      <c r="T10" s="1" t="s">
        <v>1509</v>
      </c>
      <c r="W10" s="1" t="s">
        <v>1510</v>
      </c>
      <c r="X10" s="1" t="s">
        <v>1511</v>
      </c>
      <c r="Y10" s="1" t="s">
        <v>1512</v>
      </c>
      <c r="Z10" s="1" t="s">
        <v>1513</v>
      </c>
      <c r="AA10" s="1" t="s">
        <v>0</v>
      </c>
    </row>
    <row r="11" ht="14.25" customHeight="1">
      <c r="A11" s="1" t="s">
        <v>478</v>
      </c>
      <c r="B11" s="1" t="s">
        <v>1514</v>
      </c>
      <c r="C11" s="280" t="s">
        <v>1515</v>
      </c>
      <c r="D11" s="316" t="s">
        <v>1516</v>
      </c>
      <c r="G11" s="280" t="s">
        <v>1517</v>
      </c>
      <c r="H11" s="316" t="s">
        <v>1518</v>
      </c>
      <c r="K11" s="280" t="s">
        <v>1519</v>
      </c>
      <c r="L11" s="316" t="s">
        <v>1520</v>
      </c>
      <c r="O11" s="280" t="s">
        <v>1521</v>
      </c>
      <c r="P11" s="316" t="s">
        <v>1522</v>
      </c>
      <c r="S11" s="1" t="s">
        <v>1523</v>
      </c>
      <c r="T11" s="1" t="s">
        <v>1524</v>
      </c>
      <c r="W11" s="1" t="s">
        <v>1525</v>
      </c>
      <c r="X11" s="1" t="s">
        <v>1526</v>
      </c>
      <c r="Y11" s="1" t="s">
        <v>1527</v>
      </c>
      <c r="Z11" s="1" t="s">
        <v>1528</v>
      </c>
      <c r="AA11" s="1" t="s">
        <v>0</v>
      </c>
    </row>
    <row r="12" ht="14.25" customHeight="1">
      <c r="A12" s="1" t="s">
        <v>1529</v>
      </c>
      <c r="B12" s="1" t="s">
        <v>1530</v>
      </c>
      <c r="C12" s="280" t="s">
        <v>1531</v>
      </c>
      <c r="D12" s="316" t="s">
        <v>1532</v>
      </c>
      <c r="G12" s="280" t="s">
        <v>1533</v>
      </c>
      <c r="H12" s="316" t="s">
        <v>1534</v>
      </c>
      <c r="K12" s="280" t="s">
        <v>1535</v>
      </c>
      <c r="L12" s="316" t="s">
        <v>1536</v>
      </c>
      <c r="O12" s="280" t="s">
        <v>1537</v>
      </c>
      <c r="P12" s="316" t="s">
        <v>1538</v>
      </c>
      <c r="S12" s="1" t="s">
        <v>1539</v>
      </c>
      <c r="T12" s="1" t="s">
        <v>1540</v>
      </c>
      <c r="W12" s="1" t="s">
        <v>1541</v>
      </c>
      <c r="X12" s="1" t="s">
        <v>1542</v>
      </c>
      <c r="Y12" s="1" t="s">
        <v>1543</v>
      </c>
      <c r="Z12" s="1" t="s">
        <v>1544</v>
      </c>
    </row>
    <row r="13" ht="14.25" customHeight="1">
      <c r="A13" s="1" t="s">
        <v>1545</v>
      </c>
      <c r="B13" s="1" t="s">
        <v>1546</v>
      </c>
      <c r="C13" s="280" t="s">
        <v>1547</v>
      </c>
      <c r="D13" s="316" t="s">
        <v>1548</v>
      </c>
      <c r="G13" s="280" t="s">
        <v>1549</v>
      </c>
      <c r="H13" s="316" t="s">
        <v>1550</v>
      </c>
      <c r="K13" s="280" t="s">
        <v>1551</v>
      </c>
      <c r="L13" s="316" t="s">
        <v>1552</v>
      </c>
      <c r="O13" s="280" t="s">
        <v>1553</v>
      </c>
      <c r="P13" s="316" t="s">
        <v>1554</v>
      </c>
      <c r="S13" s="1" t="s">
        <v>1555</v>
      </c>
      <c r="T13" s="1" t="s">
        <v>1556</v>
      </c>
      <c r="W13" s="1" t="s">
        <v>1557</v>
      </c>
      <c r="X13" s="1" t="s">
        <v>1558</v>
      </c>
      <c r="Y13" s="1" t="s">
        <v>1559</v>
      </c>
      <c r="Z13" s="1" t="s">
        <v>1560</v>
      </c>
    </row>
    <row r="14" ht="14.25" customHeight="1">
      <c r="A14" s="1" t="s">
        <v>1561</v>
      </c>
      <c r="B14" s="1" t="s">
        <v>1562</v>
      </c>
      <c r="C14" s="280" t="s">
        <v>1563</v>
      </c>
      <c r="D14" s="316" t="s">
        <v>1564</v>
      </c>
      <c r="G14" s="280" t="s">
        <v>1565</v>
      </c>
      <c r="H14" s="316" t="s">
        <v>1566</v>
      </c>
      <c r="K14" s="280" t="s">
        <v>1567</v>
      </c>
      <c r="L14" s="316" t="s">
        <v>1568</v>
      </c>
      <c r="O14" s="280" t="s">
        <v>1569</v>
      </c>
      <c r="P14" s="316" t="s">
        <v>1570</v>
      </c>
      <c r="S14" s="1" t="s">
        <v>1571</v>
      </c>
      <c r="T14" s="1" t="s">
        <v>1572</v>
      </c>
      <c r="U14" s="1" t="s">
        <v>0</v>
      </c>
      <c r="W14" s="1" t="s">
        <v>1573</v>
      </c>
      <c r="X14" s="1" t="s">
        <v>1574</v>
      </c>
      <c r="Y14" s="1" t="s">
        <v>1575</v>
      </c>
      <c r="Z14" s="1" t="s">
        <v>1576</v>
      </c>
    </row>
    <row r="15" ht="14.25" customHeight="1">
      <c r="A15" s="1">
        <v>0.0</v>
      </c>
      <c r="B15" s="1">
        <v>1.0</v>
      </c>
      <c r="C15" s="1">
        <v>2.0</v>
      </c>
      <c r="D15" s="1">
        <v>3.0</v>
      </c>
      <c r="E15" s="1">
        <v>4.0</v>
      </c>
      <c r="F15" s="1">
        <v>5.0</v>
      </c>
      <c r="G15" s="1">
        <v>6.0</v>
      </c>
      <c r="H15" s="1">
        <v>7.0</v>
      </c>
      <c r="I15" s="1">
        <v>8.0</v>
      </c>
      <c r="J15" s="1">
        <v>9.0</v>
      </c>
      <c r="K15" s="1">
        <v>10.0</v>
      </c>
      <c r="L15" s="1">
        <v>11.0</v>
      </c>
      <c r="M15" s="1">
        <v>12.0</v>
      </c>
      <c r="N15" s="1">
        <v>13.0</v>
      </c>
      <c r="O15" s="1">
        <v>14.0</v>
      </c>
      <c r="P15" s="1">
        <v>15.0</v>
      </c>
      <c r="Q15" s="1">
        <v>16.0</v>
      </c>
      <c r="R15" s="1">
        <v>17.0</v>
      </c>
      <c r="S15" s="1">
        <v>18.0</v>
      </c>
      <c r="T15" s="1">
        <v>19.0</v>
      </c>
      <c r="U15" s="1">
        <v>20.0</v>
      </c>
      <c r="V15" s="1">
        <v>21.0</v>
      </c>
      <c r="W15" s="1">
        <v>22.0</v>
      </c>
      <c r="X15" s="1">
        <v>23.0</v>
      </c>
      <c r="Y15" s="1">
        <v>24.0</v>
      </c>
      <c r="Z15" s="1">
        <v>25.0</v>
      </c>
    </row>
    <row r="16" ht="14.25" customHeight="1">
      <c r="A16" s="1">
        <v>0.0</v>
      </c>
      <c r="B16" s="1">
        <v>1.0</v>
      </c>
      <c r="C16" s="1">
        <v>2.0</v>
      </c>
      <c r="D16" s="1">
        <v>2.0</v>
      </c>
      <c r="E16" s="1">
        <v>2.0</v>
      </c>
      <c r="F16" s="1">
        <v>2.0</v>
      </c>
      <c r="G16" s="1">
        <v>2.0</v>
      </c>
      <c r="H16" s="1">
        <v>2.0</v>
      </c>
      <c r="I16" s="1">
        <v>2.0</v>
      </c>
      <c r="J16" s="1">
        <v>2.0</v>
      </c>
      <c r="K16" s="1">
        <v>2.0</v>
      </c>
      <c r="L16" s="1">
        <v>2.0</v>
      </c>
      <c r="M16" s="1">
        <v>2.0</v>
      </c>
      <c r="N16" s="1">
        <v>2.0</v>
      </c>
      <c r="O16" s="1">
        <v>2.0</v>
      </c>
      <c r="P16" s="1">
        <v>2.0</v>
      </c>
      <c r="Q16" s="1">
        <v>2.0</v>
      </c>
      <c r="R16" s="1">
        <v>2.0</v>
      </c>
    </row>
    <row r="17" ht="14.25" customHeight="1">
      <c r="C17" s="1">
        <f>(C15-2)*2</f>
        <v>0</v>
      </c>
      <c r="D17" s="1">
        <f>D15-2</f>
        <v>1</v>
      </c>
      <c r="E17" s="1">
        <f t="shared" ref="E17:R17" si="1">C17+2</f>
        <v>2</v>
      </c>
      <c r="F17" s="1">
        <f t="shared" si="1"/>
        <v>3</v>
      </c>
      <c r="G17" s="1">
        <f t="shared" si="1"/>
        <v>4</v>
      </c>
      <c r="H17" s="1">
        <f t="shared" si="1"/>
        <v>5</v>
      </c>
      <c r="I17" s="1">
        <f t="shared" si="1"/>
        <v>6</v>
      </c>
      <c r="J17" s="1">
        <f t="shared" si="1"/>
        <v>7</v>
      </c>
      <c r="K17" s="1">
        <f t="shared" si="1"/>
        <v>8</v>
      </c>
      <c r="L17" s="1">
        <f t="shared" si="1"/>
        <v>9</v>
      </c>
      <c r="M17" s="1">
        <f t="shared" si="1"/>
        <v>10</v>
      </c>
      <c r="N17" s="1">
        <f t="shared" si="1"/>
        <v>11</v>
      </c>
      <c r="O17" s="1">
        <f t="shared" si="1"/>
        <v>12</v>
      </c>
      <c r="P17" s="1">
        <f t="shared" si="1"/>
        <v>13</v>
      </c>
      <c r="Q17" s="1">
        <f t="shared" si="1"/>
        <v>14</v>
      </c>
      <c r="R17" s="1">
        <f t="shared" si="1"/>
        <v>15</v>
      </c>
    </row>
    <row r="18" ht="14.25" customHeight="1">
      <c r="C18" s="280">
        <f t="shared" ref="C18:R18" si="2">C17+C16</f>
        <v>2</v>
      </c>
      <c r="D18" s="1">
        <f t="shared" si="2"/>
        <v>3</v>
      </c>
      <c r="E18" s="280">
        <f t="shared" si="2"/>
        <v>4</v>
      </c>
      <c r="F18" s="1">
        <f t="shared" si="2"/>
        <v>5</v>
      </c>
      <c r="G18" s="280">
        <f t="shared" si="2"/>
        <v>6</v>
      </c>
      <c r="H18" s="1">
        <f t="shared" si="2"/>
        <v>7</v>
      </c>
      <c r="I18" s="280">
        <f t="shared" si="2"/>
        <v>8</v>
      </c>
      <c r="J18" s="1">
        <f t="shared" si="2"/>
        <v>9</v>
      </c>
      <c r="K18" s="280">
        <f t="shared" si="2"/>
        <v>10</v>
      </c>
      <c r="L18" s="1">
        <f t="shared" si="2"/>
        <v>11</v>
      </c>
      <c r="M18" s="280">
        <f t="shared" si="2"/>
        <v>12</v>
      </c>
      <c r="N18" s="1">
        <f t="shared" si="2"/>
        <v>13</v>
      </c>
      <c r="O18" s="280">
        <f t="shared" si="2"/>
        <v>14</v>
      </c>
      <c r="P18" s="1">
        <f t="shared" si="2"/>
        <v>15</v>
      </c>
      <c r="Q18" s="280">
        <f t="shared" si="2"/>
        <v>16</v>
      </c>
      <c r="R18" s="1">
        <f t="shared" si="2"/>
        <v>17</v>
      </c>
    </row>
    <row r="19" ht="14.25" customHeight="1"/>
    <row r="20" ht="14.25" customHeight="1">
      <c r="B20" s="1">
        <v>0.0</v>
      </c>
      <c r="C20" s="1">
        <v>1.0</v>
      </c>
      <c r="D20" s="1">
        <v>2.0</v>
      </c>
      <c r="E20" s="1">
        <v>3.0</v>
      </c>
      <c r="F20" s="1">
        <v>4.0</v>
      </c>
      <c r="G20" s="1">
        <v>5.0</v>
      </c>
      <c r="H20" s="1">
        <v>6.0</v>
      </c>
    </row>
    <row r="21" ht="14.25" customHeight="1">
      <c r="B21" s="1">
        <v>110.0</v>
      </c>
      <c r="C21" s="1">
        <f t="shared" ref="C21:H21" si="3">C20*40+$B$21+MAX(0,C20-1)*10</f>
        <v>150</v>
      </c>
      <c r="D21" s="1">
        <f t="shared" si="3"/>
        <v>200</v>
      </c>
      <c r="E21" s="1">
        <f t="shared" si="3"/>
        <v>250</v>
      </c>
      <c r="F21" s="1">
        <f t="shared" si="3"/>
        <v>300</v>
      </c>
      <c r="G21" s="1">
        <f t="shared" si="3"/>
        <v>350</v>
      </c>
      <c r="H21" s="1">
        <f t="shared" si="3"/>
        <v>400</v>
      </c>
    </row>
    <row r="22" ht="14.25" customHeight="1"/>
    <row r="23" ht="14.25" customHeight="1">
      <c r="B23" s="1">
        <f t="shared" ref="B23:H23" si="4">IF(B21&lt;260,B21,A23)</f>
        <v>110</v>
      </c>
      <c r="C23" s="1">
        <f t="shared" si="4"/>
        <v>150</v>
      </c>
      <c r="D23" s="1">
        <f t="shared" si="4"/>
        <v>200</v>
      </c>
      <c r="E23" s="1">
        <f t="shared" si="4"/>
        <v>250</v>
      </c>
      <c r="F23" s="1">
        <f t="shared" si="4"/>
        <v>250</v>
      </c>
      <c r="G23" s="1">
        <f t="shared" si="4"/>
        <v>250</v>
      </c>
      <c r="H23" s="1">
        <f t="shared" si="4"/>
        <v>250</v>
      </c>
    </row>
    <row r="24" ht="14.25" customHeight="1">
      <c r="C24" s="1">
        <f>110 + (C18-2)*40+MAX(0,C18-3)*10</f>
        <v>110</v>
      </c>
      <c r="E24" s="1">
        <f>110 + (E18-2)*20+MAX(0,E18-4)*10</f>
        <v>150</v>
      </c>
      <c r="G24" s="1">
        <f>110 + (G18-2)*20+MAX(0,G18-4)*5</f>
        <v>200</v>
      </c>
      <c r="I24" s="1">
        <f>110 + (I18-2)*20+MAX(0,I18-4)*5</f>
        <v>250</v>
      </c>
      <c r="K24" s="1">
        <f>110 + (K18-2)*20+MAX(0,K18-4)*5</f>
        <v>300</v>
      </c>
      <c r="M24" s="1">
        <f>110 + (M18-2)*20+MAX(0,M18-4)*5</f>
        <v>350</v>
      </c>
      <c r="O24" s="1">
        <f>110 + (O18-2)*20+MAX(0,O18-4)*5</f>
        <v>400</v>
      </c>
    </row>
    <row r="25" ht="14.25" customHeight="1">
      <c r="E25" s="1">
        <f>IF(E24&lt;150,E3,C28)</f>
        <v>0</v>
      </c>
      <c r="G25" s="1">
        <f>IF(G24&lt;150,G3,E25)</f>
        <v>0</v>
      </c>
    </row>
    <row r="26" ht="14.25" customHeight="1"/>
    <row r="27" ht="14.25" customHeight="1"/>
    <row r="28" ht="14.25" customHeight="1">
      <c r="B28" s="1">
        <v>100.0</v>
      </c>
      <c r="C28" s="1">
        <f t="shared" ref="C28:C34" si="5">IF($C$24&lt;=B28,$C$3,0)</f>
        <v>0</v>
      </c>
      <c r="D28" s="1" t="str">
        <f t="shared" ref="D28:D34" si="6">IF($C$24&gt;=B28,$C$3,0)</f>
        <v>Puny Human</v>
      </c>
    </row>
    <row r="29" ht="14.25" customHeight="1">
      <c r="B29" s="1">
        <v>110.0</v>
      </c>
      <c r="C29" s="1" t="str">
        <f t="shared" si="5"/>
        <v>Puny Human</v>
      </c>
      <c r="D29" s="1" t="str">
        <f t="shared" si="6"/>
        <v>Puny Human</v>
      </c>
    </row>
    <row r="30" ht="14.25" customHeight="1">
      <c r="B30" s="1">
        <v>120.0</v>
      </c>
      <c r="C30" s="1" t="str">
        <f t="shared" si="5"/>
        <v>Puny Human</v>
      </c>
      <c r="D30" s="1">
        <f t="shared" si="6"/>
        <v>0</v>
      </c>
    </row>
    <row r="31" ht="14.25" customHeight="1">
      <c r="B31" s="1">
        <v>130.0</v>
      </c>
      <c r="C31" s="1" t="str">
        <f t="shared" si="5"/>
        <v>Puny Human</v>
      </c>
      <c r="D31" s="1">
        <f t="shared" si="6"/>
        <v>0</v>
      </c>
    </row>
    <row r="32" ht="14.25" customHeight="1">
      <c r="B32" s="1">
        <v>140.0</v>
      </c>
      <c r="C32" s="1" t="str">
        <f t="shared" si="5"/>
        <v>Puny Human</v>
      </c>
      <c r="D32" s="1">
        <f t="shared" si="6"/>
        <v>0</v>
      </c>
    </row>
    <row r="33" ht="14.25" customHeight="1">
      <c r="B33" s="1">
        <v>150.0</v>
      </c>
      <c r="C33" s="1" t="str">
        <f t="shared" si="5"/>
        <v>Puny Human</v>
      </c>
      <c r="D33" s="1">
        <f t="shared" si="6"/>
        <v>0</v>
      </c>
    </row>
    <row r="34" ht="14.25" customHeight="1">
      <c r="B34" s="1">
        <v>160.0</v>
      </c>
      <c r="C34" s="1" t="str">
        <f t="shared" si="5"/>
        <v>Puny Human</v>
      </c>
      <c r="D34" s="1">
        <f t="shared" si="6"/>
        <v>0</v>
      </c>
    </row>
    <row r="35" ht="14.25" customHeight="1">
      <c r="B35" s="1">
        <v>170.0</v>
      </c>
    </row>
    <row r="36" ht="14.25" customHeight="1">
      <c r="B36" s="1">
        <v>180.0</v>
      </c>
    </row>
    <row r="37" ht="14.25" customHeight="1">
      <c r="B37" s="1">
        <v>190.0</v>
      </c>
    </row>
    <row r="38" ht="14.25" customHeight="1">
      <c r="B38" s="1">
        <v>200.0</v>
      </c>
    </row>
    <row r="39" ht="14.25" customHeight="1">
      <c r="B39" s="1">
        <v>210.0</v>
      </c>
    </row>
    <row r="40" ht="14.25" customHeight="1">
      <c r="B40" s="1">
        <v>220.0</v>
      </c>
    </row>
    <row r="41" ht="14.25" customHeight="1">
      <c r="B41" s="1">
        <v>230.0</v>
      </c>
    </row>
    <row r="42" ht="14.25" customHeight="1">
      <c r="B42" s="1">
        <v>240.0</v>
      </c>
    </row>
    <row r="43" ht="14.25" customHeight="1">
      <c r="B43" s="1">
        <v>250.0</v>
      </c>
    </row>
    <row r="44" ht="14.25" customHeight="1">
      <c r="B44" s="1">
        <v>260.0</v>
      </c>
    </row>
    <row r="45" ht="14.25" customHeight="1">
      <c r="B45" s="1">
        <v>270.0</v>
      </c>
    </row>
    <row r="46" ht="14.25" customHeight="1">
      <c r="B46" s="1">
        <v>280.0</v>
      </c>
    </row>
    <row r="47" ht="14.25" customHeight="1">
      <c r="B47" s="1">
        <v>290.0</v>
      </c>
    </row>
    <row r="48" ht="14.25" customHeight="1">
      <c r="B48" s="1">
        <v>300.0</v>
      </c>
    </row>
    <row r="49" ht="14.25" customHeight="1">
      <c r="B49" s="1">
        <v>310.0</v>
      </c>
    </row>
    <row r="50" ht="14.25" customHeight="1">
      <c r="B50" s="1">
        <v>320.0</v>
      </c>
    </row>
    <row r="51" ht="14.25" customHeight="1">
      <c r="B51" s="1">
        <v>330.0</v>
      </c>
    </row>
    <row r="52" ht="14.25" customHeight="1">
      <c r="B52" s="1">
        <v>340.0</v>
      </c>
    </row>
    <row r="53" ht="14.25" customHeight="1">
      <c r="B53" s="1">
        <v>350.0</v>
      </c>
    </row>
    <row r="54" ht="14.25" customHeight="1">
      <c r="B54" s="1">
        <v>360.0</v>
      </c>
    </row>
    <row r="55" ht="14.25" customHeight="1">
      <c r="B55" s="1">
        <v>370.0</v>
      </c>
    </row>
    <row r="56" ht="14.25" customHeight="1">
      <c r="B56" s="1">
        <v>380.0</v>
      </c>
    </row>
    <row r="57" ht="14.25" customHeight="1">
      <c r="B57" s="1">
        <v>390.0</v>
      </c>
    </row>
    <row r="58" ht="14.25" customHeight="1">
      <c r="B58" s="1">
        <v>400.0</v>
      </c>
    </row>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6">
    <mergeCell ref="S2:T2"/>
    <mergeCell ref="U2:V2"/>
    <mergeCell ref="D9:F9"/>
    <mergeCell ref="H9:J9"/>
    <mergeCell ref="P9:R9"/>
    <mergeCell ref="H10:J10"/>
    <mergeCell ref="P10:R10"/>
    <mergeCell ref="H13:J13"/>
    <mergeCell ref="H14:J14"/>
    <mergeCell ref="D10:F10"/>
    <mergeCell ref="D11:F11"/>
    <mergeCell ref="H11:J11"/>
    <mergeCell ref="D12:F12"/>
    <mergeCell ref="H12:J12"/>
    <mergeCell ref="D13:F13"/>
    <mergeCell ref="D14:F14"/>
    <mergeCell ref="L13:N13"/>
    <mergeCell ref="L14:N14"/>
    <mergeCell ref="L9:N9"/>
    <mergeCell ref="L10:N10"/>
    <mergeCell ref="L11:N11"/>
    <mergeCell ref="P11:R11"/>
    <mergeCell ref="L12:N12"/>
    <mergeCell ref="P12:R12"/>
    <mergeCell ref="P13:R13"/>
    <mergeCell ref="P14:R1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2022-11-30T20:46:19Z</dcterms:created>
  <dc:creator>Edward Pzrr</dc:creator>
</cp:coreProperties>
</file>